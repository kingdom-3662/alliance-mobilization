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SynologyDrive\dgefers\Desktop\Rise of Kingdoms\Stats\"/>
    </mc:Choice>
  </mc:AlternateContent>
  <xr:revisionPtr revIDLastSave="0" documentId="13_ncr:1_{9714B500-C1DB-4561-8C63-7544A4394671}" xr6:coauthVersionLast="47" xr6:coauthVersionMax="47" xr10:uidLastSave="{00000000-0000-0000-0000-000000000000}"/>
  <bookViews>
    <workbookView xWindow="12795" yWindow="0" windowWidth="26010" windowHeight="20985" firstSheet="2" activeTab="8" xr2:uid="{909B3E3F-35C1-45D2-894E-8B07AC82B732}"/>
  </bookViews>
  <sheets>
    <sheet name="November 2025" sheetId="1" r:id="rId1"/>
    <sheet name="January 2026" sheetId="2" r:id="rId2"/>
    <sheet name="February 2026" sheetId="3" r:id="rId3"/>
    <sheet name="March 2026" sheetId="4" r:id="rId4"/>
    <sheet name="June 2026" sheetId="7" r:id="rId5"/>
    <sheet name="July 2026" sheetId="6" r:id="rId6"/>
    <sheet name="August 2026" sheetId="5" r:id="rId7"/>
    <sheet name="September 2026" sheetId="8" r:id="rId8"/>
    <sheet name="Name changes" sheetId="9" r:id="rId9"/>
  </sheets>
  <definedNames>
    <definedName name="_xlnm.Print_Titles" localSheetId="6">'August 2026'!$12:$12</definedName>
    <definedName name="_xlnm.Print_Titles" localSheetId="2">'February 2026'!$12:$12</definedName>
    <definedName name="_xlnm.Print_Titles" localSheetId="1">'January 2026'!$12:$12</definedName>
    <definedName name="_xlnm.Print_Titles" localSheetId="5">'July 2026'!$12:$12</definedName>
    <definedName name="_xlnm.Print_Titles" localSheetId="4">'June 2026'!$12:$12</definedName>
    <definedName name="_xlnm.Print_Titles" localSheetId="3">'March 2026'!$12:$12</definedName>
    <definedName name="_xlnm.Print_Titles" localSheetId="0">'November 2025'!$12:$12</definedName>
    <definedName name="_xlnm.Print_Titles" localSheetId="7">'September 2026'!$12:$12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9" l="1"/>
  <c r="A21" i="9"/>
  <c r="A19" i="9"/>
  <c r="C5" i="9" l="1"/>
  <c r="C4" i="9"/>
  <c r="A8" i="9"/>
  <c r="A9" i="9"/>
  <c r="A10" i="9"/>
  <c r="A11" i="9"/>
  <c r="A12" i="9"/>
  <c r="A13" i="9"/>
  <c r="A14" i="9"/>
  <c r="A15" i="9"/>
  <c r="A16" i="9"/>
  <c r="A17" i="9"/>
  <c r="A18" i="9"/>
  <c r="A7" i="9"/>
  <c r="F148" i="8"/>
  <c r="E148" i="8"/>
  <c r="D148" i="8"/>
  <c r="F147" i="8"/>
  <c r="E147" i="8"/>
  <c r="D147" i="8"/>
  <c r="G146" i="8"/>
  <c r="A146" i="8"/>
  <c r="G145" i="8"/>
  <c r="A145" i="8"/>
  <c r="G144" i="8"/>
  <c r="A144" i="8"/>
  <c r="G143" i="8"/>
  <c r="A143" i="8"/>
  <c r="G142" i="8"/>
  <c r="A142" i="8"/>
  <c r="G141" i="8"/>
  <c r="A141" i="8"/>
  <c r="G140" i="8"/>
  <c r="A140" i="8"/>
  <c r="G139" i="8"/>
  <c r="A139" i="8"/>
  <c r="G138" i="8"/>
  <c r="A138" i="8"/>
  <c r="G137" i="8"/>
  <c r="A137" i="8"/>
  <c r="G136" i="8"/>
  <c r="A136" i="8"/>
  <c r="G135" i="8"/>
  <c r="A135" i="8"/>
  <c r="G134" i="8"/>
  <c r="A134" i="8"/>
  <c r="G133" i="8"/>
  <c r="A133" i="8"/>
  <c r="G132" i="8"/>
  <c r="A132" i="8"/>
  <c r="G131" i="8"/>
  <c r="A131" i="8"/>
  <c r="G130" i="8"/>
  <c r="A130" i="8"/>
  <c r="G129" i="8"/>
  <c r="A129" i="8"/>
  <c r="G128" i="8"/>
  <c r="A128" i="8"/>
  <c r="G127" i="8"/>
  <c r="A127" i="8"/>
  <c r="G126" i="8"/>
  <c r="A126" i="8"/>
  <c r="G125" i="8"/>
  <c r="A125" i="8"/>
  <c r="G124" i="8"/>
  <c r="A124" i="8"/>
  <c r="G123" i="8"/>
  <c r="A123" i="8"/>
  <c r="G122" i="8"/>
  <c r="A122" i="8"/>
  <c r="G121" i="8"/>
  <c r="A121" i="8"/>
  <c r="G120" i="8"/>
  <c r="A120" i="8"/>
  <c r="G119" i="8"/>
  <c r="A119" i="8"/>
  <c r="G118" i="8"/>
  <c r="A118" i="8"/>
  <c r="G117" i="8"/>
  <c r="A117" i="8"/>
  <c r="G116" i="8"/>
  <c r="A116" i="8"/>
  <c r="G115" i="8"/>
  <c r="A115" i="8"/>
  <c r="G114" i="8"/>
  <c r="A114" i="8"/>
  <c r="G113" i="8"/>
  <c r="A113" i="8"/>
  <c r="G112" i="8"/>
  <c r="A112" i="8"/>
  <c r="G111" i="8"/>
  <c r="A111" i="8"/>
  <c r="G110" i="8"/>
  <c r="A110" i="8"/>
  <c r="G109" i="8"/>
  <c r="A109" i="8"/>
  <c r="G108" i="8"/>
  <c r="A108" i="8"/>
  <c r="G107" i="8"/>
  <c r="A107" i="8"/>
  <c r="G106" i="8"/>
  <c r="A106" i="8"/>
  <c r="G105" i="8"/>
  <c r="A105" i="8"/>
  <c r="G104" i="8"/>
  <c r="A104" i="8"/>
  <c r="G103" i="8"/>
  <c r="A103" i="8"/>
  <c r="G102" i="8"/>
  <c r="A102" i="8"/>
  <c r="G101" i="8"/>
  <c r="A101" i="8"/>
  <c r="G100" i="8"/>
  <c r="A100" i="8"/>
  <c r="G99" i="8"/>
  <c r="A99" i="8"/>
  <c r="G98" i="8"/>
  <c r="A98" i="8"/>
  <c r="G97" i="8"/>
  <c r="A97" i="8"/>
  <c r="G96" i="8"/>
  <c r="A96" i="8"/>
  <c r="G95" i="8"/>
  <c r="A95" i="8"/>
  <c r="G94" i="8"/>
  <c r="A94" i="8"/>
  <c r="G93" i="8"/>
  <c r="A93" i="8"/>
  <c r="G92" i="8"/>
  <c r="A92" i="8"/>
  <c r="G91" i="8"/>
  <c r="A91" i="8"/>
  <c r="G90" i="8"/>
  <c r="A90" i="8"/>
  <c r="G89" i="8"/>
  <c r="A89" i="8"/>
  <c r="G88" i="8"/>
  <c r="A88" i="8"/>
  <c r="G87" i="8"/>
  <c r="A87" i="8"/>
  <c r="G86" i="8"/>
  <c r="A86" i="8"/>
  <c r="G85" i="8"/>
  <c r="A85" i="8"/>
  <c r="G84" i="8"/>
  <c r="A84" i="8"/>
  <c r="G83" i="8"/>
  <c r="A83" i="8"/>
  <c r="G82" i="8"/>
  <c r="A82" i="8"/>
  <c r="G81" i="8"/>
  <c r="A81" i="8"/>
  <c r="G80" i="8"/>
  <c r="A80" i="8"/>
  <c r="G79" i="8"/>
  <c r="A79" i="8"/>
  <c r="G78" i="8"/>
  <c r="A78" i="8"/>
  <c r="G77" i="8"/>
  <c r="A77" i="8"/>
  <c r="G76" i="8"/>
  <c r="A76" i="8"/>
  <c r="G75" i="8"/>
  <c r="A75" i="8"/>
  <c r="G74" i="8"/>
  <c r="A74" i="8"/>
  <c r="G73" i="8"/>
  <c r="A73" i="8"/>
  <c r="G72" i="8"/>
  <c r="A72" i="8"/>
  <c r="G71" i="8"/>
  <c r="A71" i="8"/>
  <c r="G70" i="8"/>
  <c r="A70" i="8"/>
  <c r="G69" i="8"/>
  <c r="A69" i="8"/>
  <c r="G68" i="8"/>
  <c r="A68" i="8"/>
  <c r="G67" i="8"/>
  <c r="A67" i="8"/>
  <c r="G66" i="8"/>
  <c r="A66" i="8"/>
  <c r="G65" i="8"/>
  <c r="A65" i="8"/>
  <c r="G64" i="8"/>
  <c r="A64" i="8"/>
  <c r="G63" i="8"/>
  <c r="A63" i="8"/>
  <c r="G62" i="8"/>
  <c r="A62" i="8"/>
  <c r="G61" i="8"/>
  <c r="A61" i="8"/>
  <c r="G60" i="8"/>
  <c r="A60" i="8"/>
  <c r="G59" i="8"/>
  <c r="A59" i="8"/>
  <c r="G58" i="8"/>
  <c r="A58" i="8"/>
  <c r="G57" i="8"/>
  <c r="A57" i="8"/>
  <c r="G56" i="8"/>
  <c r="A56" i="8"/>
  <c r="G55" i="8"/>
  <c r="A55" i="8"/>
  <c r="G54" i="8"/>
  <c r="A54" i="8"/>
  <c r="G53" i="8"/>
  <c r="A53" i="8"/>
  <c r="G52" i="8"/>
  <c r="A52" i="8"/>
  <c r="G51" i="8"/>
  <c r="A51" i="8"/>
  <c r="G50" i="8"/>
  <c r="A50" i="8"/>
  <c r="G49" i="8"/>
  <c r="A49" i="8"/>
  <c r="G48" i="8"/>
  <c r="A48" i="8"/>
  <c r="G47" i="8"/>
  <c r="A47" i="8"/>
  <c r="G46" i="8"/>
  <c r="A46" i="8"/>
  <c r="G45" i="8"/>
  <c r="A45" i="8"/>
  <c r="G44" i="8"/>
  <c r="A44" i="8"/>
  <c r="G43" i="8"/>
  <c r="A43" i="8"/>
  <c r="G42" i="8"/>
  <c r="A42" i="8"/>
  <c r="G41" i="8"/>
  <c r="A41" i="8"/>
  <c r="G40" i="8"/>
  <c r="A40" i="8"/>
  <c r="G39" i="8"/>
  <c r="A39" i="8"/>
  <c r="G38" i="8"/>
  <c r="A38" i="8"/>
  <c r="G37" i="8"/>
  <c r="A37" i="8"/>
  <c r="G36" i="8"/>
  <c r="A36" i="8"/>
  <c r="G35" i="8"/>
  <c r="A35" i="8"/>
  <c r="G34" i="8"/>
  <c r="A34" i="8"/>
  <c r="G33" i="8"/>
  <c r="A33" i="8"/>
  <c r="G32" i="8"/>
  <c r="A32" i="8"/>
  <c r="G31" i="8"/>
  <c r="A31" i="8"/>
  <c r="G30" i="8"/>
  <c r="A30" i="8"/>
  <c r="G29" i="8"/>
  <c r="A29" i="8"/>
  <c r="G28" i="8"/>
  <c r="A28" i="8"/>
  <c r="G27" i="8"/>
  <c r="A27" i="8"/>
  <c r="G26" i="8"/>
  <c r="A26" i="8"/>
  <c r="G25" i="8"/>
  <c r="A25" i="8"/>
  <c r="G24" i="8"/>
  <c r="A24" i="8"/>
  <c r="G23" i="8"/>
  <c r="A23" i="8"/>
  <c r="G22" i="8"/>
  <c r="A22" i="8"/>
  <c r="G21" i="8"/>
  <c r="A21" i="8"/>
  <c r="G20" i="8"/>
  <c r="A20" i="8"/>
  <c r="G19" i="8"/>
  <c r="A19" i="8"/>
  <c r="G18" i="8"/>
  <c r="A18" i="8"/>
  <c r="G17" i="8"/>
  <c r="A17" i="8"/>
  <c r="G16" i="8"/>
  <c r="A16" i="8"/>
  <c r="G15" i="8"/>
  <c r="A15" i="8"/>
  <c r="G14" i="8"/>
  <c r="A14" i="8"/>
  <c r="G13" i="8"/>
  <c r="A13" i="8"/>
  <c r="F133" i="7"/>
  <c r="E133" i="7"/>
  <c r="D133" i="7"/>
  <c r="F132" i="7"/>
  <c r="E132" i="7"/>
  <c r="D132" i="7"/>
  <c r="G131" i="7"/>
  <c r="A131" i="7"/>
  <c r="G130" i="7"/>
  <c r="A130" i="7"/>
  <c r="G129" i="7"/>
  <c r="A129" i="7"/>
  <c r="G128" i="7"/>
  <c r="A128" i="7"/>
  <c r="G127" i="7"/>
  <c r="A127" i="7"/>
  <c r="G126" i="7"/>
  <c r="A126" i="7"/>
  <c r="G125" i="7"/>
  <c r="A125" i="7"/>
  <c r="G124" i="7"/>
  <c r="A124" i="7"/>
  <c r="G123" i="7"/>
  <c r="A123" i="7"/>
  <c r="G122" i="7"/>
  <c r="A122" i="7"/>
  <c r="G121" i="7"/>
  <c r="A121" i="7"/>
  <c r="G120" i="7"/>
  <c r="A120" i="7"/>
  <c r="G119" i="7"/>
  <c r="A119" i="7"/>
  <c r="G118" i="7"/>
  <c r="A118" i="7"/>
  <c r="G117" i="7"/>
  <c r="A117" i="7"/>
  <c r="G116" i="7"/>
  <c r="A116" i="7"/>
  <c r="G115" i="7"/>
  <c r="A115" i="7"/>
  <c r="G114" i="7"/>
  <c r="A114" i="7"/>
  <c r="G113" i="7"/>
  <c r="A113" i="7"/>
  <c r="G112" i="7"/>
  <c r="A112" i="7"/>
  <c r="G111" i="7"/>
  <c r="A111" i="7"/>
  <c r="G110" i="7"/>
  <c r="A110" i="7"/>
  <c r="G109" i="7"/>
  <c r="A109" i="7"/>
  <c r="G108" i="7"/>
  <c r="A108" i="7"/>
  <c r="G107" i="7"/>
  <c r="A107" i="7"/>
  <c r="G106" i="7"/>
  <c r="A106" i="7"/>
  <c r="G105" i="7"/>
  <c r="A105" i="7"/>
  <c r="G104" i="7"/>
  <c r="A104" i="7"/>
  <c r="G103" i="7"/>
  <c r="A103" i="7"/>
  <c r="G102" i="7"/>
  <c r="A102" i="7"/>
  <c r="G101" i="7"/>
  <c r="A101" i="7"/>
  <c r="G100" i="7"/>
  <c r="A100" i="7"/>
  <c r="G99" i="7"/>
  <c r="A99" i="7"/>
  <c r="G98" i="7"/>
  <c r="A98" i="7"/>
  <c r="G97" i="7"/>
  <c r="A97" i="7"/>
  <c r="G96" i="7"/>
  <c r="A96" i="7"/>
  <c r="G95" i="7"/>
  <c r="A95" i="7"/>
  <c r="G94" i="7"/>
  <c r="A94" i="7"/>
  <c r="G93" i="7"/>
  <c r="A93" i="7"/>
  <c r="G92" i="7"/>
  <c r="A92" i="7"/>
  <c r="G91" i="7"/>
  <c r="A91" i="7"/>
  <c r="G90" i="7"/>
  <c r="A90" i="7"/>
  <c r="G89" i="7"/>
  <c r="A89" i="7"/>
  <c r="G88" i="7"/>
  <c r="A88" i="7"/>
  <c r="G87" i="7"/>
  <c r="A87" i="7"/>
  <c r="G86" i="7"/>
  <c r="A86" i="7"/>
  <c r="G85" i="7"/>
  <c r="A85" i="7"/>
  <c r="G84" i="7"/>
  <c r="A84" i="7"/>
  <c r="G83" i="7"/>
  <c r="A83" i="7"/>
  <c r="G82" i="7"/>
  <c r="A82" i="7"/>
  <c r="G81" i="7"/>
  <c r="A81" i="7"/>
  <c r="G80" i="7"/>
  <c r="A80" i="7"/>
  <c r="G79" i="7"/>
  <c r="A79" i="7"/>
  <c r="G78" i="7"/>
  <c r="A78" i="7"/>
  <c r="G77" i="7"/>
  <c r="A77" i="7"/>
  <c r="G76" i="7"/>
  <c r="A76" i="7"/>
  <c r="G75" i="7"/>
  <c r="A75" i="7"/>
  <c r="G74" i="7"/>
  <c r="A74" i="7"/>
  <c r="G73" i="7"/>
  <c r="A73" i="7"/>
  <c r="G72" i="7"/>
  <c r="A72" i="7"/>
  <c r="G71" i="7"/>
  <c r="A71" i="7"/>
  <c r="G70" i="7"/>
  <c r="A70" i="7"/>
  <c r="G69" i="7"/>
  <c r="A69" i="7"/>
  <c r="G68" i="7"/>
  <c r="A68" i="7"/>
  <c r="G67" i="7"/>
  <c r="A67" i="7"/>
  <c r="G66" i="7"/>
  <c r="A66" i="7"/>
  <c r="G65" i="7"/>
  <c r="A65" i="7"/>
  <c r="G64" i="7"/>
  <c r="A64" i="7"/>
  <c r="G63" i="7"/>
  <c r="A63" i="7"/>
  <c r="G62" i="7"/>
  <c r="A62" i="7"/>
  <c r="G61" i="7"/>
  <c r="A61" i="7"/>
  <c r="G60" i="7"/>
  <c r="A60" i="7"/>
  <c r="G59" i="7"/>
  <c r="A59" i="7"/>
  <c r="G58" i="7"/>
  <c r="A58" i="7"/>
  <c r="G57" i="7"/>
  <c r="A57" i="7"/>
  <c r="G56" i="7"/>
  <c r="A56" i="7"/>
  <c r="G55" i="7"/>
  <c r="A55" i="7"/>
  <c r="G54" i="7"/>
  <c r="A54" i="7"/>
  <c r="G53" i="7"/>
  <c r="A53" i="7"/>
  <c r="G52" i="7"/>
  <c r="A52" i="7"/>
  <c r="G51" i="7"/>
  <c r="A51" i="7"/>
  <c r="G50" i="7"/>
  <c r="A50" i="7"/>
  <c r="G49" i="7"/>
  <c r="A49" i="7"/>
  <c r="G48" i="7"/>
  <c r="A48" i="7"/>
  <c r="G47" i="7"/>
  <c r="A47" i="7"/>
  <c r="G46" i="7"/>
  <c r="A46" i="7"/>
  <c r="G45" i="7"/>
  <c r="A45" i="7"/>
  <c r="G44" i="7"/>
  <c r="A44" i="7"/>
  <c r="G43" i="7"/>
  <c r="A43" i="7"/>
  <c r="G42" i="7"/>
  <c r="A42" i="7"/>
  <c r="G41" i="7"/>
  <c r="A41" i="7"/>
  <c r="G40" i="7"/>
  <c r="A40" i="7"/>
  <c r="G39" i="7"/>
  <c r="A39" i="7"/>
  <c r="G38" i="7"/>
  <c r="A38" i="7"/>
  <c r="G37" i="7"/>
  <c r="A37" i="7"/>
  <c r="G36" i="7"/>
  <c r="A36" i="7"/>
  <c r="G35" i="7"/>
  <c r="A35" i="7"/>
  <c r="G34" i="7"/>
  <c r="A34" i="7"/>
  <c r="G33" i="7"/>
  <c r="A33" i="7"/>
  <c r="G32" i="7"/>
  <c r="A32" i="7"/>
  <c r="G31" i="7"/>
  <c r="A31" i="7"/>
  <c r="G30" i="7"/>
  <c r="A30" i="7"/>
  <c r="G29" i="7"/>
  <c r="A29" i="7"/>
  <c r="G28" i="7"/>
  <c r="A28" i="7"/>
  <c r="G27" i="7"/>
  <c r="A27" i="7"/>
  <c r="G26" i="7"/>
  <c r="A26" i="7"/>
  <c r="G25" i="7"/>
  <c r="A25" i="7"/>
  <c r="G24" i="7"/>
  <c r="A24" i="7"/>
  <c r="G23" i="7"/>
  <c r="A23" i="7"/>
  <c r="G22" i="7"/>
  <c r="A22" i="7"/>
  <c r="G21" i="7"/>
  <c r="A21" i="7"/>
  <c r="G20" i="7"/>
  <c r="A20" i="7"/>
  <c r="G19" i="7"/>
  <c r="A19" i="7"/>
  <c r="G18" i="7"/>
  <c r="A18" i="7"/>
  <c r="G17" i="7"/>
  <c r="A17" i="7"/>
  <c r="G16" i="7"/>
  <c r="A16" i="7"/>
  <c r="G15" i="7"/>
  <c r="A15" i="7"/>
  <c r="G14" i="7"/>
  <c r="A14" i="7"/>
  <c r="G13" i="7"/>
  <c r="A13" i="7"/>
  <c r="A149" i="6"/>
  <c r="A150" i="6"/>
  <c r="A151" i="6"/>
  <c r="A152" i="6"/>
  <c r="G149" i="6"/>
  <c r="G150" i="6"/>
  <c r="G151" i="6"/>
  <c r="F154" i="6"/>
  <c r="E154" i="6"/>
  <c r="D154" i="6"/>
  <c r="F153" i="6"/>
  <c r="E153" i="6"/>
  <c r="D153" i="6"/>
  <c r="G152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A86" i="6"/>
  <c r="G85" i="6"/>
  <c r="A85" i="6"/>
  <c r="G84" i="6"/>
  <c r="A84" i="6"/>
  <c r="G83" i="6"/>
  <c r="A83" i="6"/>
  <c r="G82" i="6"/>
  <c r="A82" i="6"/>
  <c r="G81" i="6"/>
  <c r="A81" i="6"/>
  <c r="G80" i="6"/>
  <c r="A80" i="6"/>
  <c r="G79" i="6"/>
  <c r="A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A15" i="6"/>
  <c r="G14" i="6"/>
  <c r="A14" i="6"/>
  <c r="G13" i="6"/>
  <c r="A13" i="6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3" i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3" i="2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3" i="3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3" i="4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3" i="5"/>
  <c r="G144" i="5"/>
  <c r="G145" i="5"/>
  <c r="G146" i="5"/>
  <c r="G147" i="5"/>
  <c r="G148" i="5"/>
  <c r="F151" i="5"/>
  <c r="E151" i="5"/>
  <c r="D151" i="5"/>
  <c r="F150" i="5"/>
  <c r="E150" i="5"/>
  <c r="D150" i="5"/>
  <c r="G149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44" i="4"/>
  <c r="G142" i="4"/>
  <c r="G131" i="4"/>
  <c r="G117" i="4"/>
  <c r="G115" i="4"/>
  <c r="G112" i="4"/>
  <c r="G75" i="4"/>
  <c r="G69" i="4"/>
  <c r="G68" i="4"/>
  <c r="G148" i="8" l="1"/>
  <c r="G133" i="7"/>
  <c r="G154" i="6"/>
  <c r="G151" i="5"/>
  <c r="G49" i="4"/>
  <c r="G45" i="4"/>
  <c r="G42" i="4"/>
  <c r="G32" i="4"/>
  <c r="G31" i="4"/>
  <c r="G30" i="4"/>
  <c r="G29" i="4"/>
  <c r="G27" i="4"/>
  <c r="G25" i="4"/>
  <c r="G24" i="4"/>
  <c r="G23" i="4"/>
  <c r="G19" i="4"/>
  <c r="G18" i="4"/>
  <c r="G17" i="4"/>
  <c r="G13" i="4"/>
  <c r="G16" i="4"/>
  <c r="G14" i="4"/>
  <c r="G56" i="4"/>
  <c r="G22" i="4"/>
  <c r="G138" i="4"/>
  <c r="G59" i="4"/>
  <c r="G20" i="4"/>
  <c r="G50" i="4"/>
  <c r="G133" i="4"/>
  <c r="G41" i="4"/>
  <c r="G118" i="4"/>
  <c r="G57" i="4"/>
  <c r="G46" i="4"/>
  <c r="G77" i="4"/>
  <c r="G116" i="4"/>
  <c r="G90" i="4"/>
  <c r="G105" i="4"/>
  <c r="G125" i="4"/>
  <c r="G54" i="4"/>
  <c r="G39" i="4"/>
  <c r="G26" i="4"/>
  <c r="G51" i="4"/>
  <c r="G80" i="4"/>
  <c r="G83" i="4"/>
  <c r="G37" i="4"/>
  <c r="G62" i="4"/>
  <c r="G127" i="4"/>
  <c r="G63" i="4"/>
  <c r="G65" i="4"/>
  <c r="G38" i="4"/>
  <c r="G111" i="4"/>
  <c r="G74" i="4"/>
  <c r="G66" i="4"/>
  <c r="G124" i="4"/>
  <c r="G98" i="4"/>
  <c r="G33" i="4"/>
  <c r="G103" i="4"/>
  <c r="G34" i="4"/>
  <c r="G36" i="4"/>
  <c r="G47" i="4"/>
  <c r="G52" i="4"/>
  <c r="G71" i="4"/>
  <c r="G93" i="4"/>
  <c r="G58" i="4"/>
  <c r="G28" i="4"/>
  <c r="G114" i="4"/>
  <c r="G99" i="4"/>
  <c r="G21" i="4"/>
  <c r="G85" i="4"/>
  <c r="G61" i="4"/>
  <c r="G48" i="4"/>
  <c r="G72" i="4"/>
  <c r="G108" i="4"/>
  <c r="G78" i="4"/>
  <c r="G55" i="4"/>
  <c r="G106" i="4"/>
  <c r="G140" i="4"/>
  <c r="G135" i="4"/>
  <c r="G84" i="4"/>
  <c r="G53" i="4"/>
  <c r="G104" i="4"/>
  <c r="G88" i="4"/>
  <c r="G139" i="4"/>
  <c r="G73" i="4"/>
  <c r="G113" i="4"/>
  <c r="G44" i="4"/>
  <c r="G120" i="4"/>
  <c r="G141" i="4"/>
  <c r="G91" i="4"/>
  <c r="G64" i="4"/>
  <c r="G70" i="4"/>
  <c r="G100" i="4"/>
  <c r="G95" i="4"/>
  <c r="G89" i="4"/>
  <c r="G60" i="4"/>
  <c r="G123" i="4"/>
  <c r="G76" i="4"/>
  <c r="G81" i="4"/>
  <c r="G121" i="4"/>
  <c r="G96" i="4"/>
  <c r="G92" i="4"/>
  <c r="G79" i="4"/>
  <c r="G122" i="4"/>
  <c r="G134" i="4"/>
  <c r="G110" i="4"/>
  <c r="G130" i="4"/>
  <c r="G97" i="4"/>
  <c r="G119" i="4"/>
  <c r="G94" i="4"/>
  <c r="G107" i="4"/>
  <c r="G87" i="4"/>
  <c r="G67" i="4"/>
  <c r="G40" i="4"/>
  <c r="G129" i="4"/>
  <c r="G86" i="4"/>
  <c r="G43" i="4"/>
  <c r="G82" i="4"/>
  <c r="G143" i="4"/>
  <c r="G128" i="4"/>
  <c r="G136" i="4"/>
  <c r="G126" i="4"/>
  <c r="G109" i="4"/>
  <c r="G35" i="4"/>
  <c r="G101" i="4"/>
  <c r="G102" i="4"/>
  <c r="G132" i="4"/>
  <c r="G137" i="4"/>
  <c r="G15" i="4"/>
  <c r="F146" i="4"/>
  <c r="E146" i="4"/>
  <c r="D146" i="4"/>
  <c r="F145" i="4"/>
  <c r="E145" i="4"/>
  <c r="D145" i="4"/>
  <c r="G146" i="4" l="1"/>
  <c r="F153" i="3"/>
  <c r="E153" i="3"/>
  <c r="D153" i="3"/>
  <c r="F124" i="2"/>
  <c r="E124" i="2"/>
  <c r="D124" i="2"/>
  <c r="D157" i="1"/>
  <c r="E157" i="1"/>
  <c r="F157" i="1"/>
  <c r="F158" i="1"/>
  <c r="E158" i="1"/>
  <c r="D158" i="1"/>
  <c r="G27" i="3"/>
  <c r="G151" i="3"/>
  <c r="G144" i="3"/>
  <c r="G145" i="3"/>
  <c r="G148" i="3"/>
  <c r="G150" i="3"/>
  <c r="G143" i="3"/>
  <c r="G121" i="3"/>
  <c r="G133" i="3"/>
  <c r="G134" i="3"/>
  <c r="G139" i="3"/>
  <c r="G142" i="3"/>
  <c r="G98" i="3"/>
  <c r="G100" i="3"/>
  <c r="G115" i="3"/>
  <c r="G119" i="3"/>
  <c r="G124" i="3"/>
  <c r="G132" i="3"/>
  <c r="G14" i="3"/>
  <c r="G16" i="3"/>
  <c r="G18" i="3"/>
  <c r="G19" i="3"/>
  <c r="G20" i="3"/>
  <c r="G21" i="3"/>
  <c r="G23" i="3"/>
  <c r="G24" i="3"/>
  <c r="G26" i="3"/>
  <c r="G30" i="3"/>
  <c r="G31" i="3"/>
  <c r="G32" i="3"/>
  <c r="G39" i="3"/>
  <c r="G40" i="3"/>
  <c r="G55" i="3"/>
  <c r="G64" i="3"/>
  <c r="G71" i="3"/>
  <c r="G81" i="3"/>
  <c r="G90" i="3"/>
  <c r="G92" i="3"/>
  <c r="G94" i="3"/>
  <c r="G117" i="3"/>
  <c r="G118" i="3"/>
  <c r="G130" i="3"/>
  <c r="G141" i="3"/>
  <c r="G147" i="3"/>
  <c r="G80" i="3"/>
  <c r="G89" i="3"/>
  <c r="G127" i="3"/>
  <c r="G53" i="3"/>
  <c r="G65" i="3"/>
  <c r="G128" i="3"/>
  <c r="G105" i="3"/>
  <c r="G113" i="3"/>
  <c r="G77" i="3"/>
  <c r="G120" i="3"/>
  <c r="G56" i="3"/>
  <c r="G114" i="3"/>
  <c r="G112" i="3"/>
  <c r="G47" i="3"/>
  <c r="G123" i="3"/>
  <c r="G97" i="3"/>
  <c r="G43" i="3"/>
  <c r="G86" i="3"/>
  <c r="G38" i="3"/>
  <c r="G79" i="3"/>
  <c r="G85" i="3"/>
  <c r="G131" i="3"/>
  <c r="G104" i="3"/>
  <c r="G110" i="3"/>
  <c r="G125" i="3"/>
  <c r="G122" i="3"/>
  <c r="G102" i="3"/>
  <c r="G45" i="3"/>
  <c r="G60" i="3"/>
  <c r="G57" i="3"/>
  <c r="G109" i="3"/>
  <c r="G88" i="3"/>
  <c r="G138" i="3"/>
  <c r="G129" i="3"/>
  <c r="G75" i="3"/>
  <c r="G76" i="3"/>
  <c r="G54" i="3"/>
  <c r="G66" i="3"/>
  <c r="G36" i="3"/>
  <c r="G82" i="3"/>
  <c r="G135" i="3"/>
  <c r="G103" i="3"/>
  <c r="G99" i="3"/>
  <c r="G51" i="3"/>
  <c r="G70" i="3"/>
  <c r="G140" i="3"/>
  <c r="G111" i="3"/>
  <c r="G101" i="3"/>
  <c r="G107" i="3"/>
  <c r="G35" i="3"/>
  <c r="G25" i="3"/>
  <c r="G46" i="3"/>
  <c r="G62" i="3"/>
  <c r="G68" i="3"/>
  <c r="G37" i="3"/>
  <c r="G93" i="3"/>
  <c r="G83" i="3"/>
  <c r="G59" i="3"/>
  <c r="G84" i="3"/>
  <c r="G29" i="3"/>
  <c r="G73" i="3"/>
  <c r="G116" i="3"/>
  <c r="G34" i="3"/>
  <c r="G87" i="3"/>
  <c r="G106" i="3"/>
  <c r="G136" i="3"/>
  <c r="G126" i="3"/>
  <c r="G67" i="3"/>
  <c r="G33" i="3"/>
  <c r="G96" i="3"/>
  <c r="G91" i="3"/>
  <c r="G58" i="3"/>
  <c r="G69" i="3"/>
  <c r="G48" i="3"/>
  <c r="G42" i="3"/>
  <c r="G74" i="3"/>
  <c r="G49" i="3"/>
  <c r="G44" i="3"/>
  <c r="G52" i="3"/>
  <c r="G95" i="3"/>
  <c r="G50" i="3"/>
  <c r="G108" i="3"/>
  <c r="G72" i="3"/>
  <c r="G22" i="3"/>
  <c r="G41" i="3"/>
  <c r="G17" i="3"/>
  <c r="G63" i="3"/>
  <c r="G28" i="3"/>
  <c r="G137" i="3"/>
  <c r="G61" i="3"/>
  <c r="G15" i="3"/>
  <c r="G78" i="3"/>
  <c r="G146" i="3"/>
  <c r="G13" i="3"/>
  <c r="G94" i="2"/>
  <c r="G60" i="2"/>
  <c r="G123" i="2"/>
  <c r="F125" i="2"/>
  <c r="E125" i="2"/>
  <c r="D125" i="2"/>
  <c r="G106" i="2"/>
  <c r="G108" i="2"/>
  <c r="G121" i="2"/>
  <c r="G93" i="2"/>
  <c r="G82" i="2"/>
  <c r="G113" i="2"/>
  <c r="G86" i="2"/>
  <c r="G114" i="2"/>
  <c r="G99" i="2"/>
  <c r="G67" i="2"/>
  <c r="G100" i="2"/>
  <c r="G101" i="2"/>
  <c r="G117" i="2"/>
  <c r="G110" i="2"/>
  <c r="G14" i="2"/>
  <c r="G116" i="2"/>
  <c r="G80" i="2"/>
  <c r="G66" i="2"/>
  <c r="G85" i="2"/>
  <c r="G97" i="2"/>
  <c r="G64" i="2"/>
  <c r="G54" i="2"/>
  <c r="G105" i="2"/>
  <c r="G20" i="2"/>
  <c r="G107" i="2"/>
  <c r="G30" i="2"/>
  <c r="G118" i="2"/>
  <c r="G87" i="2"/>
  <c r="G74" i="2"/>
  <c r="G98" i="2"/>
  <c r="G109" i="2"/>
  <c r="G122" i="2"/>
  <c r="G72" i="2"/>
  <c r="G63" i="2"/>
  <c r="G112" i="2"/>
  <c r="G35" i="2"/>
  <c r="G37" i="2"/>
  <c r="G34" i="2"/>
  <c r="G69" i="2"/>
  <c r="G71" i="2"/>
  <c r="G53" i="2"/>
  <c r="G95" i="2"/>
  <c r="G56" i="2"/>
  <c r="G61" i="2"/>
  <c r="G36" i="2"/>
  <c r="G24" i="2"/>
  <c r="G90" i="2"/>
  <c r="G102" i="2"/>
  <c r="G33" i="2"/>
  <c r="G32" i="2"/>
  <c r="G68" i="2"/>
  <c r="G50" i="2"/>
  <c r="G31" i="2"/>
  <c r="G44" i="2"/>
  <c r="G28" i="2"/>
  <c r="G89" i="2"/>
  <c r="G88" i="2"/>
  <c r="G81" i="2"/>
  <c r="G96" i="2"/>
  <c r="G22" i="2"/>
  <c r="G120" i="2"/>
  <c r="G26" i="2"/>
  <c r="G51" i="2"/>
  <c r="G103" i="2"/>
  <c r="G76" i="2"/>
  <c r="G91" i="2"/>
  <c r="G27" i="2"/>
  <c r="G45" i="2"/>
  <c r="G59" i="2"/>
  <c r="G58" i="2"/>
  <c r="G19" i="2"/>
  <c r="G62" i="2"/>
  <c r="G77" i="2"/>
  <c r="G17" i="2"/>
  <c r="G73" i="2"/>
  <c r="G79" i="2"/>
  <c r="G15" i="2"/>
  <c r="G75" i="2"/>
  <c r="G55" i="2"/>
  <c r="G42" i="2"/>
  <c r="G43" i="2"/>
  <c r="G40" i="2"/>
  <c r="G119" i="2"/>
  <c r="G115" i="2"/>
  <c r="G78" i="2"/>
  <c r="G84" i="2"/>
  <c r="G111" i="2"/>
  <c r="G16" i="2"/>
  <c r="G41" i="2"/>
  <c r="G70" i="2"/>
  <c r="G39" i="2"/>
  <c r="G38" i="2"/>
  <c r="G13" i="2"/>
  <c r="G48" i="2"/>
  <c r="G18" i="2"/>
  <c r="G49" i="2"/>
  <c r="G57" i="2"/>
  <c r="G21" i="2"/>
  <c r="G65" i="2"/>
  <c r="G52" i="2"/>
  <c r="G46" i="2"/>
  <c r="G92" i="2"/>
  <c r="G47" i="2"/>
  <c r="G83" i="2"/>
  <c r="G25" i="2"/>
  <c r="G29" i="2"/>
  <c r="G23" i="2"/>
  <c r="G104" i="2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3" i="3" l="1"/>
  <c r="G158" i="1"/>
  <c r="G125" i="2"/>
  <c r="E152" i="3" l="1"/>
  <c r="D152" i="3"/>
  <c r="F15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Gefers</author>
  </authors>
  <commentList>
    <comment ref="D38" authorId="0" shapeId="0" xr:uid="{C8C40FE3-5188-491C-8CD0-3DB0ED44F771}">
      <text>
        <r>
          <rPr>
            <b/>
            <sz val="9"/>
            <color indexed="81"/>
            <rFont val="Segoe UI"/>
            <family val="2"/>
          </rPr>
          <t>Daniel Gefers:</t>
        </r>
        <r>
          <rPr>
            <sz val="9"/>
            <color indexed="81"/>
            <rFont val="Segoe UI"/>
            <family val="2"/>
          </rPr>
          <t xml:space="preserve">
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Gefers</author>
  </authors>
  <commentList>
    <comment ref="D38" authorId="0" shapeId="0" xr:uid="{E12B9175-7E15-42E3-B030-B8025914ADAB}">
      <text>
        <r>
          <rPr>
            <b/>
            <sz val="9"/>
            <color indexed="81"/>
            <rFont val="Segoe UI"/>
            <family val="2"/>
          </rPr>
          <t>Daniel Gefers:</t>
        </r>
        <r>
          <rPr>
            <sz val="9"/>
            <color indexed="81"/>
            <rFont val="Segoe UI"/>
            <family val="2"/>
          </rPr>
          <t xml:space="preserve">
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Gefers</author>
  </authors>
  <commentList>
    <comment ref="D38" authorId="0" shapeId="0" xr:uid="{D013734A-FB67-461F-81A9-9DC2434534E5}">
      <text>
        <r>
          <rPr>
            <b/>
            <sz val="9"/>
            <color indexed="81"/>
            <rFont val="Segoe UI"/>
            <family val="2"/>
          </rPr>
          <t>Daniel Gefers:</t>
        </r>
        <r>
          <rPr>
            <sz val="9"/>
            <color indexed="81"/>
            <rFont val="Segoe UI"/>
            <family val="2"/>
          </rPr>
          <t xml:space="preserve">
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Gefers</author>
  </authors>
  <commentList>
    <comment ref="D38" authorId="0" shapeId="0" xr:uid="{3FF4FFD5-FDC9-4F20-B4A2-AF0C05CC6129}">
      <text>
        <r>
          <rPr>
            <b/>
            <sz val="9"/>
            <color indexed="81"/>
            <rFont val="Segoe UI"/>
            <family val="2"/>
          </rPr>
          <t>Daniel Gefers:</t>
        </r>
        <r>
          <rPr>
            <sz val="9"/>
            <color indexed="81"/>
            <rFont val="Segoe UI"/>
            <family val="2"/>
          </rPr>
          <t xml:space="preserve">
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Gefers</author>
  </authors>
  <commentList>
    <comment ref="D38" authorId="0" shapeId="0" xr:uid="{4EAC8E18-2A3B-4EFC-A355-1ACD56501289}">
      <text>
        <r>
          <rPr>
            <b/>
            <sz val="9"/>
            <color indexed="81"/>
            <rFont val="Segoe UI"/>
            <family val="2"/>
          </rPr>
          <t>Daniel Gefers:</t>
        </r>
        <r>
          <rPr>
            <sz val="9"/>
            <color indexed="81"/>
            <rFont val="Segoe UI"/>
            <family val="2"/>
          </rPr>
          <t xml:space="preserve">
i</t>
        </r>
      </text>
    </comment>
  </commentList>
</comments>
</file>

<file path=xl/sharedStrings.xml><?xml version="1.0" encoding="utf-8"?>
<sst xmlns="http://schemas.openxmlformats.org/spreadsheetml/2006/main" count="1264" uniqueCount="384">
  <si>
    <t>Start</t>
  </si>
  <si>
    <t>End</t>
  </si>
  <si>
    <t>21st of November 2025</t>
  </si>
  <si>
    <t>27th of November 2025</t>
  </si>
  <si>
    <t>Legendary Fragment Choice-Chests</t>
  </si>
  <si>
    <t>Gloves</t>
  </si>
  <si>
    <t>Alliance-Rank</t>
  </si>
  <si>
    <t>3rd</t>
  </si>
  <si>
    <t>Alliance-Points</t>
  </si>
  <si>
    <t>Governor</t>
  </si>
  <si>
    <t>Quests
completed</t>
  </si>
  <si>
    <t>AndziaF</t>
  </si>
  <si>
    <t>WALECNYpl</t>
  </si>
  <si>
    <t>Fireball</t>
  </si>
  <si>
    <t>Andzia02</t>
  </si>
  <si>
    <t>CihangirTR</t>
  </si>
  <si>
    <t>Points
reached</t>
  </si>
  <si>
    <t>Sebtorus</t>
  </si>
  <si>
    <t>NøtAJITbIH</t>
  </si>
  <si>
    <t>DonMozay</t>
  </si>
  <si>
    <t>AndziaF4</t>
  </si>
  <si>
    <t>Spelaktor</t>
  </si>
  <si>
    <t>Viet Nam N1</t>
  </si>
  <si>
    <t>AndziaINF</t>
  </si>
  <si>
    <t>SEMiHBZ14</t>
  </si>
  <si>
    <t>Kamuñas</t>
  </si>
  <si>
    <t>Viktoriia04</t>
  </si>
  <si>
    <t>Hirotaya</t>
  </si>
  <si>
    <t>Chloro</t>
  </si>
  <si>
    <t>tadziu89</t>
  </si>
  <si>
    <t>egøistö</t>
  </si>
  <si>
    <t>Mariusz 42</t>
  </si>
  <si>
    <t>Béo BankF13</t>
  </si>
  <si>
    <t>RamOna</t>
  </si>
  <si>
    <t>Xx MISIEK xX</t>
  </si>
  <si>
    <t>ms2 F2</t>
  </si>
  <si>
    <t>AndziaF2</t>
  </si>
  <si>
    <t>KYi</t>
  </si>
  <si>
    <t>Urbisa</t>
  </si>
  <si>
    <t>ms2 F1</t>
  </si>
  <si>
    <t>St AllRiledUP</t>
  </si>
  <si>
    <t>AndziaF3</t>
  </si>
  <si>
    <t>Kruncer</t>
  </si>
  <si>
    <t>ms2 F4</t>
  </si>
  <si>
    <t>MarBon</t>
  </si>
  <si>
    <t>1escandor</t>
  </si>
  <si>
    <t>ms2 F5</t>
  </si>
  <si>
    <t>BaTTALGAZI</t>
  </si>
  <si>
    <t>Dovy5 farm</t>
  </si>
  <si>
    <t>name buggy</t>
  </si>
  <si>
    <t>Mal chin</t>
  </si>
  <si>
    <t>NARUTO Gx</t>
  </si>
  <si>
    <t>Johnson</t>
  </si>
  <si>
    <t>Richers</t>
  </si>
  <si>
    <t>PHO3NIX</t>
  </si>
  <si>
    <t>SaintNix</t>
  </si>
  <si>
    <t>Sebtorus Max</t>
  </si>
  <si>
    <t>Fireball F1</t>
  </si>
  <si>
    <t>swioniu</t>
  </si>
  <si>
    <t>PASSWORD</t>
  </si>
  <si>
    <t>Labubu112</t>
  </si>
  <si>
    <t>GestOR 90</t>
  </si>
  <si>
    <t>Jinn Woo</t>
  </si>
  <si>
    <t>Fireball F2</t>
  </si>
  <si>
    <t>R4V3N</t>
  </si>
  <si>
    <t>miniPASS</t>
  </si>
  <si>
    <t>Sshsh</t>
  </si>
  <si>
    <t>Babayaga28</t>
  </si>
  <si>
    <t>AZTEKA</t>
  </si>
  <si>
    <t>farms2VN</t>
  </si>
  <si>
    <t>BorGothPrime</t>
  </si>
  <si>
    <t>ms2</t>
  </si>
  <si>
    <t>P HTn</t>
  </si>
  <si>
    <t>name buggy farm</t>
  </si>
  <si>
    <t>khalidibn</t>
  </si>
  <si>
    <t>Strajkers</t>
  </si>
  <si>
    <t>Koy659</t>
  </si>
  <si>
    <t>Kato002</t>
  </si>
  <si>
    <t>AlanLin</t>
  </si>
  <si>
    <t>乂Andzia乂</t>
  </si>
  <si>
    <t>FIGHTIERS</t>
  </si>
  <si>
    <t>St ArthurDayne</t>
  </si>
  <si>
    <t>Pistl Air</t>
  </si>
  <si>
    <t>Béo BankF0</t>
  </si>
  <si>
    <t>Sheeeshhh</t>
  </si>
  <si>
    <t>Brau</t>
  </si>
  <si>
    <t>Xui nhat game</t>
  </si>
  <si>
    <t>Trà Dá 5k</t>
  </si>
  <si>
    <t>Tieu Mây</t>
  </si>
  <si>
    <t>Kuba yes</t>
  </si>
  <si>
    <t>Marbon3</t>
  </si>
  <si>
    <t>Marbon1</t>
  </si>
  <si>
    <t>Farmer Gamma</t>
  </si>
  <si>
    <t>DovyS farm</t>
  </si>
  <si>
    <t>Rotte</t>
  </si>
  <si>
    <t>DaddyNixa</t>
  </si>
  <si>
    <t>Lanweiii</t>
  </si>
  <si>
    <t>Marbon2</t>
  </si>
  <si>
    <t>Katika</t>
  </si>
  <si>
    <t>Black ROosTeR</t>
  </si>
  <si>
    <t>Sáu chành</t>
  </si>
  <si>
    <t>BÈO BANK MGT</t>
  </si>
  <si>
    <t>Monkey D Bro</t>
  </si>
  <si>
    <t>GothamFC</t>
  </si>
  <si>
    <t>ORION1</t>
  </si>
  <si>
    <t>Mr cuu</t>
  </si>
  <si>
    <t>ULUKURt</t>
  </si>
  <si>
    <t>ᴵTᶻdrigo</t>
  </si>
  <si>
    <t>ᴾᴸTubylecG1</t>
  </si>
  <si>
    <t>ᴾᴸTubylec</t>
  </si>
  <si>
    <t>ᴾᴸTubylecG4</t>
  </si>
  <si>
    <t>ᴾᴸTubylecG3</t>
  </si>
  <si>
    <t>ᴾᴸTubylecG2</t>
  </si>
  <si>
    <t>メNatalliメ</t>
  </si>
  <si>
    <t>メReempiメ</t>
  </si>
  <si>
    <t>メ Gingi メ</t>
  </si>
  <si>
    <t>メSunGodLuffyメ</t>
  </si>
  <si>
    <t>Arekᴾᴸ</t>
  </si>
  <si>
    <t>メ Gölge メ</t>
  </si>
  <si>
    <t>メAviski</t>
  </si>
  <si>
    <t>メGentaメ</t>
  </si>
  <si>
    <t>メLakotekメ</t>
  </si>
  <si>
    <t>メDerkメ</t>
  </si>
  <si>
    <t>メJL BDM</t>
  </si>
  <si>
    <t>メXahroniメ</t>
  </si>
  <si>
    <t>Ferdekᴾᴸ</t>
  </si>
  <si>
    <t>Aziel メ farmer</t>
  </si>
  <si>
    <t>メHiDANメ</t>
  </si>
  <si>
    <t>メFrostメ</t>
  </si>
  <si>
    <t>メメMugiWarAメメ</t>
  </si>
  <si>
    <t>メEstea</t>
  </si>
  <si>
    <t>Total</t>
  </si>
  <si>
    <t>Average</t>
  </si>
  <si>
    <t>Points per
Quest compl.</t>
  </si>
  <si>
    <t>5th of January 2026</t>
  </si>
  <si>
    <t>12th of January 2026</t>
  </si>
  <si>
    <t>4th</t>
  </si>
  <si>
    <t>St Charmander</t>
  </si>
  <si>
    <t>メAnnaメ</t>
  </si>
  <si>
    <t>benimaru</t>
  </si>
  <si>
    <t>Béo Bank Rally</t>
  </si>
  <si>
    <t>ᵏᴳ Koy659</t>
  </si>
  <si>
    <t>ms2 F3</t>
  </si>
  <si>
    <t>忍Itslnk</t>
  </si>
  <si>
    <t>亗Tubylec亗</t>
  </si>
  <si>
    <t>Aziel メ farmer2</t>
  </si>
  <si>
    <t>Mew Đế</t>
  </si>
  <si>
    <t>HzzzH</t>
  </si>
  <si>
    <t>Angela D Pinili</t>
  </si>
  <si>
    <t>亗Andzia亗</t>
  </si>
  <si>
    <t>Duweiii</t>
  </si>
  <si>
    <t>Minimum Points Required</t>
  </si>
  <si>
    <t>Minimum Points required</t>
  </si>
  <si>
    <t>Event
Rank</t>
  </si>
  <si>
    <t>Weapon</t>
  </si>
  <si>
    <t>2nd of February 2026</t>
  </si>
  <si>
    <t>8th of February 2026</t>
  </si>
  <si>
    <t>Béo BankF11</t>
  </si>
  <si>
    <t>Béo BankF12</t>
  </si>
  <si>
    <t>㋡MonkeyDbroutch</t>
  </si>
  <si>
    <t>Meeii</t>
  </si>
  <si>
    <t>ᴬˢʰ KAMOL</t>
  </si>
  <si>
    <t>AndziaCavMini</t>
  </si>
  <si>
    <t>ˢᵖ Szuwar64</t>
  </si>
  <si>
    <t>AndziaCAV</t>
  </si>
  <si>
    <t>DonnataFarm</t>
  </si>
  <si>
    <t>Donna3</t>
  </si>
  <si>
    <t>Donna2</t>
  </si>
  <si>
    <t>ᴬᵁEndy ツ</t>
  </si>
  <si>
    <t>メDōɳɳata</t>
  </si>
  <si>
    <t>PrZeMeKᴾᴸ</t>
  </si>
  <si>
    <t>ᴳᴿRaz</t>
  </si>
  <si>
    <t>Arekᴾᴸfarm</t>
  </si>
  <si>
    <t>FIGHTIER F4</t>
  </si>
  <si>
    <t>ᴷᵀFIGHTIER</t>
  </si>
  <si>
    <t>・Aziel・</t>
  </si>
  <si>
    <t>メOnlyFarmsメ</t>
  </si>
  <si>
    <t>FIGHTIER F5</t>
  </si>
  <si>
    <t>ᴷˢRudziak</t>
  </si>
  <si>
    <t>ᴷᴴDovyS</t>
  </si>
  <si>
    <t>忍 Boogyman15</t>
  </si>
  <si>
    <t>miniPASSWORD</t>
  </si>
  <si>
    <t>PrZeMMeKᴾᴸ</t>
  </si>
  <si>
    <t>Baby Boogy15</t>
  </si>
  <si>
    <t>Adrian3535</t>
  </si>
  <si>
    <t>Sytheᴾᴴ</t>
  </si>
  <si>
    <t>ᴷˢ4thLegion</t>
  </si>
  <si>
    <t>ᵂᴱMissAV</t>
  </si>
  <si>
    <t>Monkey D・Aby</t>
  </si>
  <si>
    <t>Monkey D・300</t>
  </si>
  <si>
    <t>ᴷˢKaramTJ</t>
  </si>
  <si>
    <t>missavfarmm</t>
  </si>
  <si>
    <t>SEMİHBZ14</t>
  </si>
  <si>
    <t>MaChinfarm</t>
  </si>
  <si>
    <t>FIGHTIER F2</t>
  </si>
  <si>
    <t>ʚɞK BÉO</t>
  </si>
  <si>
    <t>FIGHTIER F3</t>
  </si>
  <si>
    <t>Ferdek farmm</t>
  </si>
  <si>
    <t>KaRaa92</t>
  </si>
  <si>
    <t>benimarufarm</t>
  </si>
  <si>
    <t>ᴷˢXanovec</t>
  </si>
  <si>
    <t>StrajkerFarms</t>
  </si>
  <si>
    <t>NatalliF1</t>
  </si>
  <si>
    <t>wizard x҉ 01</t>
  </si>
  <si>
    <t>AndziaARCH</t>
  </si>
  <si>
    <t>ᵂᴱHaslie</t>
  </si>
  <si>
    <t>Koy559</t>
  </si>
  <si>
    <t>ANS أ</t>
  </si>
  <si>
    <t>义 Haappyy</t>
  </si>
  <si>
    <t>Monkey D・Sabo</t>
  </si>
  <si>
    <t>Level completed</t>
  </si>
  <si>
    <t>8th of March 2026</t>
  </si>
  <si>
    <t>2nd of March 2026</t>
  </si>
  <si>
    <t>Béo BankF19</t>
  </si>
  <si>
    <t>Béo BankF15</t>
  </si>
  <si>
    <t>侍 YuaTakuya</t>
  </si>
  <si>
    <t>侍 ShinTakuya</t>
  </si>
  <si>
    <t>Monkey D・Ace</t>
  </si>
  <si>
    <t>Aresツ</t>
  </si>
  <si>
    <t>Broutch Tractor</t>
  </si>
  <si>
    <t>Broutchi BN</t>
  </si>
  <si>
    <t>itZfarm</t>
  </si>
  <si>
    <t>MiniBroutch</t>
  </si>
  <si>
    <t>Broutchi Mugi</t>
  </si>
  <si>
    <t>MiniBroutchifrm</t>
  </si>
  <si>
    <t>MiniMugiBroutch</t>
  </si>
  <si>
    <t>ᴬˢʰ RADZIO</t>
  </si>
  <si>
    <t>P HTn 2</t>
  </si>
  <si>
    <t>1ESCANOR</t>
  </si>
  <si>
    <t>メKaKus15メ</t>
  </si>
  <si>
    <t>Broutchi paysan</t>
  </si>
  <si>
    <t>mim sa chas</t>
  </si>
  <si>
    <t>ᴱᴼメAviski</t>
  </si>
  <si>
    <t>ᴱᴼlvipQ</t>
  </si>
  <si>
    <t>mewfarm</t>
  </si>
  <si>
    <t>P HTn 1</t>
  </si>
  <si>
    <t>Kingdom</t>
  </si>
  <si>
    <t>Alliance Mobilization: March 2026</t>
  </si>
  <si>
    <t>Alliance Mobilization: February 2026</t>
  </si>
  <si>
    <t>Alliance Mobilization: January 2026</t>
  </si>
  <si>
    <t>Alliance Mobilization: November 2025</t>
  </si>
  <si>
    <t>Pants</t>
  </si>
  <si>
    <t>3rd of August 2026</t>
  </si>
  <si>
    <t>9th of August 2026</t>
  </si>
  <si>
    <t>✗Andzia✗</t>
  </si>
  <si>
    <t>Kursord</t>
  </si>
  <si>
    <t>CihangirTR farm</t>
  </si>
  <si>
    <t>AndziaINFmini7</t>
  </si>
  <si>
    <t>Szuwar64</t>
  </si>
  <si>
    <t>MISIEK junior 1</t>
  </si>
  <si>
    <t>świoniu farm</t>
  </si>
  <si>
    <t>Tubylec</t>
  </si>
  <si>
    <t>✗Andzia1✗</t>
  </si>
  <si>
    <t>Drug0nBall</t>
  </si>
  <si>
    <t>YeLLoW</t>
  </si>
  <si>
    <t>AndziaCavMini6</t>
  </si>
  <si>
    <t>WiedźmiN</t>
  </si>
  <si>
    <t>wizard x01</t>
  </si>
  <si>
    <t>15Zax</t>
  </si>
  <si>
    <t>✗Andzia2✗</t>
  </si>
  <si>
    <t>Chess Farma</t>
  </si>
  <si>
    <t>✗OnlyFarms✗</t>
  </si>
  <si>
    <t>Ks4thLegion</t>
  </si>
  <si>
    <t>✗ Ares ✗</t>
  </si>
  <si>
    <t>PrZeMeKPL</t>
  </si>
  <si>
    <t>AndziaINFmini4</t>
  </si>
  <si>
    <t>arczi×D</t>
  </si>
  <si>
    <t>✗ Musashi</t>
  </si>
  <si>
    <t>✗Andzia3✗</t>
  </si>
  <si>
    <t>NotAJITbIH</t>
  </si>
  <si>
    <t>KsRudziak</t>
  </si>
  <si>
    <t>AndziaINFmini2</t>
  </si>
  <si>
    <t>KTFIGHTIER</t>
  </si>
  <si>
    <t>MrChess5</t>
  </si>
  <si>
    <t>BloodSweat</t>
  </si>
  <si>
    <t>AndziaINFmini5</t>
  </si>
  <si>
    <t>MrCHESS6</t>
  </si>
  <si>
    <t>Adrian 2</t>
  </si>
  <si>
    <t>Metalldrift</t>
  </si>
  <si>
    <t>BÉO BANK MGT</t>
  </si>
  <si>
    <t>missavFarm</t>
  </si>
  <si>
    <t>świoniu</t>
  </si>
  <si>
    <t>ツBunnyHop</t>
  </si>
  <si>
    <t>Mechoori</t>
  </si>
  <si>
    <t>MrCHESS2</t>
  </si>
  <si>
    <t>F2B1911</t>
  </si>
  <si>
    <t>Aresfff1</t>
  </si>
  <si>
    <t>farma wizard 1</t>
  </si>
  <si>
    <t>WiedźmiN F1</t>
  </si>
  <si>
    <t>✗Adrian✗</t>
  </si>
  <si>
    <t>Andzia</t>
  </si>
  <si>
    <t>ツMonkeyDbroutch</t>
  </si>
  <si>
    <t>AndziaINFmini6</t>
  </si>
  <si>
    <t>MrCHESS</t>
  </si>
  <si>
    <t>Tubylec Rss006</t>
  </si>
  <si>
    <t>Marbon4</t>
  </si>
  <si>
    <t>AndziaINF0</t>
  </si>
  <si>
    <t>Tubylec Rss001</t>
  </si>
  <si>
    <t>Tubylec Rss003</t>
  </si>
  <si>
    <t>Tubylec Rss005</t>
  </si>
  <si>
    <t>Tubylec Rss002</t>
  </si>
  <si>
    <t>Tubylec Rss004</t>
  </si>
  <si>
    <t>AndziaINFmini1</t>
  </si>
  <si>
    <t>Tubylec Rss009</t>
  </si>
  <si>
    <t>AndziaINFmini3</t>
  </si>
  <si>
    <t>Tubylec Rss010</t>
  </si>
  <si>
    <t>Tubylec Rss011</t>
  </si>
  <si>
    <t>lukasss</t>
  </si>
  <si>
    <t>Adrian4</t>
  </si>
  <si>
    <t>Adrian3</t>
  </si>
  <si>
    <t>KEERLEY</t>
  </si>
  <si>
    <t>P HTn1</t>
  </si>
  <si>
    <t>Tubylec Rss007</t>
  </si>
  <si>
    <t>Tubylec Rss008</t>
  </si>
  <si>
    <t>Adrian6</t>
  </si>
  <si>
    <t>Adrian 5</t>
  </si>
  <si>
    <t>15Zax2</t>
  </si>
  <si>
    <t>Quests
started</t>
  </si>
  <si>
    <t>6th of July 2026</t>
  </si>
  <si>
    <t>12th of July 2026</t>
  </si>
  <si>
    <t>2nd</t>
  </si>
  <si>
    <t>ᶠʳᵐ Plush</t>
  </si>
  <si>
    <t>ᴹᵃᵈ Plush</t>
  </si>
  <si>
    <t>KaRa92</t>
  </si>
  <si>
    <t>ZORO✞</t>
  </si>
  <si>
    <t>DrugOnBall</t>
  </si>
  <si>
    <t>PrZeMeKFarm</t>
  </si>
  <si>
    <t>wizard x̧01</t>
  </si>
  <si>
    <t>Sheeesshh Food</t>
  </si>
  <si>
    <t>itZFarm</t>
  </si>
  <si>
    <t>Haslie farm</t>
  </si>
  <si>
    <t>DaddyNixya</t>
  </si>
  <si>
    <t>✞ Zoro Farm5 ✞</t>
  </si>
  <si>
    <t>MiniKaRa92</t>
  </si>
  <si>
    <t>Metallfarm</t>
  </si>
  <si>
    <t>øɞK BÉO</t>
  </si>
  <si>
    <t>Alliance Mobilization: July 2026</t>
  </si>
  <si>
    <t>Alliance Mobilization: August 2026</t>
  </si>
  <si>
    <t>20th of June 2026</t>
  </si>
  <si>
    <t>14th of June 2026</t>
  </si>
  <si>
    <t>Chest</t>
  </si>
  <si>
    <t>1st</t>
  </si>
  <si>
    <t>Alliance Mobilization: June 2026</t>
  </si>
  <si>
    <t>ANSأ</t>
  </si>
  <si>
    <t>ANS FARMأ</t>
  </si>
  <si>
    <t>AndziaCavMini2</t>
  </si>
  <si>
    <t>Spelaktorfarm</t>
  </si>
  <si>
    <t>AndziaCavMini7</t>
  </si>
  <si>
    <t>świoniu vs</t>
  </si>
  <si>
    <t>メ53 MERUEM</t>
  </si>
  <si>
    <t>31st of August 2026</t>
  </si>
  <si>
    <t>6th of September 2026</t>
  </si>
  <si>
    <t>Alliance Mobilization: September 2026</t>
  </si>
  <si>
    <t>Boots</t>
  </si>
  <si>
    <t>Dede Korkut F 1</t>
  </si>
  <si>
    <t>PrZeMeKF1</t>
  </si>
  <si>
    <t>Boogyman Farm</t>
  </si>
  <si>
    <t>WiedźmiN F10</t>
  </si>
  <si>
    <t>ThaoLy F2P</t>
  </si>
  <si>
    <t>Tubylec Rss012</t>
  </si>
  <si>
    <t>LanweiiF</t>
  </si>
  <si>
    <t>4thLegionfarm</t>
  </si>
  <si>
    <t>F2bfarm</t>
  </si>
  <si>
    <t>ᵂᴵMrChess</t>
  </si>
  <si>
    <t>Jaken Naga lulu</t>
  </si>
  <si>
    <t>Current name</t>
  </si>
  <si>
    <t>AresF2</t>
  </si>
  <si>
    <t>RamONa F2</t>
  </si>
  <si>
    <t>Ares f</t>
  </si>
  <si>
    <t>RamONa F1</t>
  </si>
  <si>
    <t>AresFf3</t>
  </si>
  <si>
    <t>RamONa F3</t>
  </si>
  <si>
    <t>RamONa</t>
  </si>
  <si>
    <t>• Iceball •</t>
  </si>
  <si>
    <t>Dede Korkut 1</t>
  </si>
  <si>
    <t>Beefball</t>
  </si>
  <si>
    <t>Alliance Mobilization: Name changes</t>
  </si>
  <si>
    <t>First</t>
  </si>
  <si>
    <t>Last</t>
  </si>
  <si>
    <t>FıRTINA</t>
  </si>
  <si>
    <t>Former name 1</t>
  </si>
  <si>
    <t>Former name 2</t>
  </si>
  <si>
    <t>Former name 3</t>
  </si>
  <si>
    <t>ᴾᴴSheeeshhh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</si>
</sst>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 diagonalUp="1">
      <left/>
      <right/>
      <top/>
      <bottom style="thin">
        <color theme="0" tint="-0.34998626667073579"/>
      </bottom>
      <diagonal style="thin">
        <color theme="0" tint="-0.34998626667073579"/>
      </diagonal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indent="1"/>
    </xf>
    <xf numFmtId="4" fontId="3" fillId="2" borderId="1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indent="1"/>
    </xf>
    <xf numFmtId="4" fontId="3" fillId="3" borderId="1" xfId="0" applyNumberFormat="1" applyFont="1" applyFill="1" applyBorder="1" applyAlignment="1">
      <alignment horizontal="right" vertical="center" inden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right" vertical="center" indent="1"/>
    </xf>
    <xf numFmtId="3" fontId="0" fillId="0" borderId="0" xfId="0" applyNumberFormat="1" applyAlignment="1">
      <alignment horizontal="right" vertical="center" indent="1"/>
    </xf>
    <xf numFmtId="3" fontId="0" fillId="0" borderId="2" xfId="0" applyNumberFormat="1" applyBorder="1" applyAlignment="1">
      <alignment horizontal="right" vertical="center" indent="1"/>
    </xf>
    <xf numFmtId="4" fontId="0" fillId="0" borderId="2" xfId="0" applyNumberFormat="1" applyBorder="1" applyAlignment="1">
      <alignment horizontal="righ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 indent="1"/>
    </xf>
    <xf numFmtId="0" fontId="0" fillId="0" borderId="0" xfId="0"/>
    <xf numFmtId="17" fontId="0" fillId="0" borderId="0" xfId="0" applyNumberFormat="1" applyAlignment="1">
      <alignment horizontal="left" vertical="center"/>
    </xf>
  </cellXfs>
  <cellStyles count="1">
    <cellStyle name="Standard" xfId="0" builtinId="0"/>
  </cellStyles>
  <dxfs count="15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4" formatCode="#,##0.0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  <border diagonalUp="1" diagonalDown="0" outline="0">
        <left/>
        <right/>
        <top/>
        <bottom style="thin">
          <color theme="0" tint="-0.34998626667073579"/>
        </bottom>
        <diagonal style="thin">
          <color theme="0" tint="-0.34998626667073579"/>
        </diagonal>
      </border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numFmt numFmtId="3" formatCode="#,##0"/>
      <alignment horizontal="righ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indent="1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Rise of Kingdoms" defaultPivotStyle="PivotStyleLight16">
    <tableStyle name="Rise of Kingdoms" pivot="0" count="7" xr9:uid="{814AAECB-B283-4971-B156-CBB9C11E7CE1}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firstRowStripe" dxfId="151"/>
      <tableStyleElement type="firstColumnStripe" dxfId="1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171E4-5234-4B65-BCA7-CC3D483EA3FB}" name="AllianceMobilization202511" displayName="AllianceMobilization202511" ref="B12:G157" totalsRowCount="1" headerRowDxfId="140" dataDxfId="139" totalsRowDxfId="138">
  <autoFilter ref="B12:G156" xr:uid="{9F2171E4-5234-4B65-BCA7-CC3D483EA3FB}"/>
  <sortState xmlns:xlrd2="http://schemas.microsoft.com/office/spreadsheetml/2017/richdata2" ref="B13:G156">
    <sortCondition ref="B12:B156"/>
  </sortState>
  <tableColumns count="6">
    <tableColumn id="1" xr3:uid="{E80EFDDD-CF56-40E0-84FA-EE7D9422EE02}" name="Event_x000a_Rank" totalsRowLabel="Total" dataDxfId="137" totalsRowDxfId="47"/>
    <tableColumn id="2" xr3:uid="{3B6633FB-4D7C-4AE3-BAB1-89D7B440BAB2}" name="Governor" dataDxfId="136" totalsRowDxfId="46"/>
    <tableColumn id="3" xr3:uid="{C9B4BB00-6F72-49A1-BC67-75C7DBA56D12}" name="Points_x000a_reached" totalsRowFunction="sum" dataDxfId="135" totalsRowDxfId="45"/>
    <tableColumn id="4" xr3:uid="{495DCF47-EE1A-43FF-BC77-24F1998BD592}" name="Quests_x000a_started" totalsRowFunction="sum" dataDxfId="134" totalsRowDxfId="44"/>
    <tableColumn id="5" xr3:uid="{5DA3BDD5-5ED1-4533-9FF2-9EA9C5A6505D}" name="Quests_x000a_completed" totalsRowFunction="sum" dataDxfId="133" totalsRowDxfId="43"/>
    <tableColumn id="6" xr3:uid="{695CA109-E314-447D-8CC9-1DE4EBE1D106}" name="Points per_x000a_Quest compl." dataDxfId="132" totalsRowDxfId="42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C009E5-0657-4DF1-ADEB-1771FC5393CD}" name="AllianceMobilization202601" displayName="AllianceMobilization202601" ref="B12:G124" totalsRowCount="1" headerRowDxfId="131" dataDxfId="130" totalsRowDxfId="129">
  <autoFilter ref="B12:G123" xr:uid="{9F2171E4-5234-4B65-BCA7-CC3D483EA3FB}"/>
  <sortState xmlns:xlrd2="http://schemas.microsoft.com/office/spreadsheetml/2017/richdata2" ref="B13:G123">
    <sortCondition ref="B12:B123"/>
  </sortState>
  <tableColumns count="6">
    <tableColumn id="1" xr3:uid="{2E23F4F9-51DB-40ED-9226-3A3B014E70A6}" name="Event_x000a_Rank" totalsRowLabel="Total" dataDxfId="128" totalsRowDxfId="41"/>
    <tableColumn id="2" xr3:uid="{8F7C649B-6D88-4F11-B796-32F33F442642}" name="Governor" dataDxfId="127" totalsRowDxfId="40"/>
    <tableColumn id="3" xr3:uid="{2193B9C7-6D26-4A08-B094-729B3B441B48}" name="Points_x000a_reached" totalsRowFunction="sum" dataDxfId="126" totalsRowDxfId="39"/>
    <tableColumn id="4" xr3:uid="{E4294EBA-4938-464A-8060-8F7F2F839DBE}" name="Quests_x000a_started" totalsRowFunction="sum" dataDxfId="125" totalsRowDxfId="38"/>
    <tableColumn id="5" xr3:uid="{7FB251BF-169C-4924-83A6-069E02C7F5D2}" name="Quests_x000a_completed" totalsRowFunction="sum" dataDxfId="124" totalsRowDxfId="37"/>
    <tableColumn id="6" xr3:uid="{EBF17B55-1711-466D-8489-61F0248BF567}" name="Points per_x000a_Quest compl." dataDxfId="123" totalsRowDxfId="36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3B8002-176C-472A-94EF-BAA86E82E885}" name="AllianceMobilization202602" displayName="AllianceMobilization202602" ref="B12:G152" totalsRowCount="1" headerRowDxfId="122" dataDxfId="121" totalsRowDxfId="120">
  <autoFilter ref="B12:G151" xr:uid="{9F2171E4-5234-4B65-BCA7-CC3D483EA3FB}"/>
  <sortState xmlns:xlrd2="http://schemas.microsoft.com/office/spreadsheetml/2017/richdata2" ref="B13:G151">
    <sortCondition ref="B12:B151"/>
  </sortState>
  <tableColumns count="6">
    <tableColumn id="1" xr3:uid="{B30EAC76-060F-4B49-90A4-959A62E0C548}" name="Event_x000a_Rank" totalsRowLabel="Total" dataDxfId="119" totalsRowDxfId="31"/>
    <tableColumn id="2" xr3:uid="{06F94D66-C61F-4063-9650-9472D99D94DB}" name="Governor" dataDxfId="118" totalsRowDxfId="30"/>
    <tableColumn id="3" xr3:uid="{6671FE25-D716-415E-9CC6-0747DC95F98D}" name="Points_x000a_reached" totalsRowFunction="sum" dataDxfId="117" totalsRowDxfId="29"/>
    <tableColumn id="4" xr3:uid="{7F3CD8A8-5FB7-494E-8C4D-D884901E7CAD}" name="Quests_x000a_started" totalsRowFunction="sum" dataDxfId="116" totalsRowDxfId="28"/>
    <tableColumn id="5" xr3:uid="{F7D5B1B8-846B-4525-BFE2-0E221E02DD5B}" name="Quests_x000a_completed" totalsRowFunction="sum" dataDxfId="115" totalsRowDxfId="27"/>
    <tableColumn id="6" xr3:uid="{9BAA2795-21A9-4C74-AECE-58FD09C05E9B}" name="Points per_x000a_Quest compl." dataDxfId="114" totalsRowDxfId="26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1E6D77-4F29-4434-85C0-E3884F5E01CB}" name="AllianceMobilization202603" displayName="AllianceMobilization202603" ref="B12:G145" totalsRowCount="1" headerRowDxfId="113" dataDxfId="112" totalsRowDxfId="111">
  <autoFilter ref="B12:G144" xr:uid="{9F2171E4-5234-4B65-BCA7-CC3D483EA3FB}"/>
  <sortState xmlns:xlrd2="http://schemas.microsoft.com/office/spreadsheetml/2017/richdata2" ref="B13:G144">
    <sortCondition ref="B12:B144"/>
  </sortState>
  <tableColumns count="6">
    <tableColumn id="1" xr3:uid="{8F1B437D-7DC7-4032-B373-39501AAC305A}" name="Event_x000a_Rank" totalsRowLabel="Total" dataDxfId="110" totalsRowDxfId="77"/>
    <tableColumn id="2" xr3:uid="{5748D8F1-4EB7-49DC-9F19-02F8544ADB80}" name="Governor" dataDxfId="109" totalsRowDxfId="76"/>
    <tableColumn id="3" xr3:uid="{C16FF4F5-BE34-45C7-AC36-B2C513C2BD38}" name="Points_x000a_reached" totalsRowFunction="sum" dataDxfId="108" totalsRowDxfId="75"/>
    <tableColumn id="4" xr3:uid="{E81DD37D-FD17-4F66-B511-74896A7F0F2A}" name="Quests_x000a_started" totalsRowFunction="sum" dataDxfId="107" totalsRowDxfId="74"/>
    <tableColumn id="5" xr3:uid="{DC35B835-A19A-439D-893B-122792042439}" name="Quests_x000a_completed" totalsRowFunction="sum" dataDxfId="106" totalsRowDxfId="73"/>
    <tableColumn id="6" xr3:uid="{1621615B-84A5-4D0B-B67B-14F5B8B6075A}" name="Points per_x000a_Quest compl." dataDxfId="105" totalsRowDxfId="72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8FBDF9-FCC7-4C93-9B38-43FF67FDEB9E}" name="AllianceMobilization202606" displayName="AllianceMobilization202606" ref="B12:G132" totalsRowCount="1" headerRowDxfId="104" dataDxfId="103" totalsRowDxfId="102">
  <autoFilter ref="B12:G131" xr:uid="{9F2171E4-5234-4B65-BCA7-CC3D483EA3FB}"/>
  <sortState xmlns:xlrd2="http://schemas.microsoft.com/office/spreadsheetml/2017/richdata2" ref="B13:G131">
    <sortCondition ref="B12:B131"/>
  </sortState>
  <tableColumns count="6">
    <tableColumn id="1" xr3:uid="{D8E9B715-1D59-4A60-9E31-0B5FEE63A12A}" name="Event_x000a_Rank" totalsRowLabel="Total" dataDxfId="101" totalsRowDxfId="71"/>
    <tableColumn id="2" xr3:uid="{67F290D2-0820-48FE-BB36-118CF7DC1854}" name="Governor" dataDxfId="100" totalsRowDxfId="70"/>
    <tableColumn id="3" xr3:uid="{3D97C902-1962-42BB-BF4A-70FBB84A275D}" name="Points_x000a_reached" totalsRowFunction="sum" dataDxfId="99" totalsRowDxfId="69"/>
    <tableColumn id="4" xr3:uid="{6F4B57EE-DD44-4C31-991C-14DA6FAEE2CC}" name="Quests_x000a_started" totalsRowFunction="sum" dataDxfId="98" totalsRowDxfId="68"/>
    <tableColumn id="5" xr3:uid="{674F52CC-ADC3-4CFF-AF18-0C3EE0B6A778}" name="Quests_x000a_completed" totalsRowFunction="sum" dataDxfId="97" totalsRowDxfId="67"/>
    <tableColumn id="6" xr3:uid="{7956BB13-96CA-4BA6-AE82-6C3911FEF104}" name="Points per_x000a_Quest compl." dataDxfId="96" totalsRowDxfId="66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877A37-602D-4929-A27F-182C37222BF1}" name="AllianceMobilization202607" displayName="AllianceMobilization202607" ref="B12:G153" totalsRowCount="1" headerRowDxfId="95" dataDxfId="94" totalsRowDxfId="93">
  <autoFilter ref="B12:G152" xr:uid="{9F2171E4-5234-4B65-BCA7-CC3D483EA3FB}"/>
  <sortState xmlns:xlrd2="http://schemas.microsoft.com/office/spreadsheetml/2017/richdata2" ref="B13:G152">
    <sortCondition ref="B12:B152"/>
  </sortState>
  <tableColumns count="6">
    <tableColumn id="1" xr3:uid="{024374DF-58D9-4D7E-A2F8-E94E3FDE62D4}" name="Event_x000a_Rank" totalsRowLabel="Total" dataDxfId="92" totalsRowDxfId="53"/>
    <tableColumn id="2" xr3:uid="{63C21810-283C-483A-9B6F-5290EE4535DE}" name="Governor" dataDxfId="91" totalsRowDxfId="52"/>
    <tableColumn id="3" xr3:uid="{32C633D8-BA68-4EF3-BDCF-75E0D0078BCA}" name="Points_x000a_reached" totalsRowFunction="sum" dataDxfId="90" totalsRowDxfId="51"/>
    <tableColumn id="4" xr3:uid="{D1311703-382D-425F-A173-91EEC303E293}" name="Quests_x000a_started" totalsRowFunction="sum" dataDxfId="89" totalsRowDxfId="50"/>
    <tableColumn id="5" xr3:uid="{0A4AC45F-A60F-4A6F-9A75-E0BCC22CB6F0}" name="Quests_x000a_completed" totalsRowFunction="sum" dataDxfId="88" totalsRowDxfId="49"/>
    <tableColumn id="6" xr3:uid="{78CAC145-EDB3-425A-A337-3F1234C5B602}" name="Points per_x000a_Quest compl." dataDxfId="87" totalsRowDxfId="48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6F41ED-D120-45F9-8558-56F61F3BD8B0}" name="AllianceMobilization202608" displayName="AllianceMobilization202608" ref="B12:G150" totalsRowCount="1" headerRowDxfId="86" dataDxfId="85" totalsRowDxfId="84">
  <autoFilter ref="B12:G149" xr:uid="{9F2171E4-5234-4B65-BCA7-CC3D483EA3FB}"/>
  <sortState xmlns:xlrd2="http://schemas.microsoft.com/office/spreadsheetml/2017/richdata2" ref="B13:G149">
    <sortCondition ref="B12:B149"/>
  </sortState>
  <tableColumns count="6">
    <tableColumn id="1" xr3:uid="{50D3F7F9-6587-4E14-9172-32543B79C5F3}" name="Event_x000a_Rank" totalsRowLabel="Total" dataDxfId="83" totalsRowDxfId="65"/>
    <tableColumn id="2" xr3:uid="{4BB8DE34-B1C7-4669-94D2-DFACA05ED05A}" name="Governor" dataDxfId="82" totalsRowDxfId="64"/>
    <tableColumn id="3" xr3:uid="{4E94BDE2-12D0-4603-9BB3-91BDDE3B74F4}" name="Points_x000a_reached" totalsRowFunction="sum" dataDxfId="81" totalsRowDxfId="63"/>
    <tableColumn id="4" xr3:uid="{1390E1DB-6F54-4A1B-8886-BA8A8C22BB6D}" name="Quests_x000a_started" totalsRowFunction="sum" dataDxfId="80" totalsRowDxfId="62"/>
    <tableColumn id="5" xr3:uid="{0F97E3EF-FD9E-46CF-9FE4-6549B5704E98}" name="Quests_x000a_completed" totalsRowFunction="sum" dataDxfId="79" totalsRowDxfId="61"/>
    <tableColumn id="6" xr3:uid="{9863C91B-4251-4CB7-BB1D-4FE464EF7779}" name="Points per_x000a_Quest compl." dataDxfId="78" totalsRowDxfId="60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D434E4-0568-420F-AA53-F95B11309638}" name="AllianceMobilization202609" displayName="AllianceMobilization202609" ref="B12:G147" totalsRowCount="1" headerRowDxfId="149" dataDxfId="148" totalsRowDxfId="147">
  <autoFilter ref="B12:G146" xr:uid="{9F2171E4-5234-4B65-BCA7-CC3D483EA3FB}"/>
  <sortState xmlns:xlrd2="http://schemas.microsoft.com/office/spreadsheetml/2017/richdata2" ref="B13:G146">
    <sortCondition ref="B12:B146"/>
  </sortState>
  <tableColumns count="6">
    <tableColumn id="1" xr3:uid="{0BD6F31C-88ED-4F5D-B312-0E80EA472799}" name="Event_x000a_Rank" totalsRowLabel="Total" dataDxfId="146" totalsRowDxfId="59"/>
    <tableColumn id="2" xr3:uid="{5476817D-6BB2-4219-BAAC-93030D81F834}" name="Governor" dataDxfId="145" totalsRowDxfId="58"/>
    <tableColumn id="3" xr3:uid="{2F5807B0-B0CD-4270-8190-6228514D5EB9}" name="Points_x000a_reached" totalsRowFunction="sum" dataDxfId="144" totalsRowDxfId="57"/>
    <tableColumn id="4" xr3:uid="{66A94722-A980-4C21-AD3A-4DE5F6442EE7}" name="Quests_x000a_started" totalsRowFunction="sum" dataDxfId="143" totalsRowDxfId="56"/>
    <tableColumn id="5" xr3:uid="{FA7AC61E-5D38-40A4-AFEF-2DF13BCBF7BB}" name="Quests_x000a_completed" totalsRowFunction="sum" dataDxfId="142" totalsRowDxfId="55"/>
    <tableColumn id="6" xr3:uid="{8CB484E1-EBED-4CF2-A72C-F49F44A142FD}" name="Points per_x000a_Quest compl." dataDxfId="141" totalsRowDxfId="54">
      <calculatedColumnFormula>IFERROR(D13/F13,0)</calculatedColumnFormula>
    </tableColumn>
  </tableColumns>
  <tableStyleInfo name="Rise of Kingdoms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DBD4E3-26E5-4E45-8E96-77D6F8230EB9}" name="AllianceMobilizationNameChanges" displayName="AllianceMobilizationNameChanges" ref="B7:E21" totalsRowShown="0" headerRowDxfId="33" dataDxfId="32">
  <autoFilter ref="B7:E21" xr:uid="{55DBD4E3-26E5-4E45-8E96-77D6F8230EB9}"/>
  <sortState xmlns:xlrd2="http://schemas.microsoft.com/office/spreadsheetml/2017/richdata2" ref="B8:E21">
    <sortCondition ref="B7:B21"/>
  </sortState>
  <tableColumns count="4">
    <tableColumn id="1" xr3:uid="{CC994515-F24A-45D9-9B22-FB8EC5CA0084}" name="Current name" dataDxfId="35"/>
    <tableColumn id="2" xr3:uid="{F9331BE2-A760-46EF-952B-849942869351}" name="Former name 1" dataDxfId="34"/>
    <tableColumn id="4" xr3:uid="{9B887ADD-34DD-4696-9E85-79E76979C7C0}" name="Former name 2" dataDxfId="24"/>
    <tableColumn id="3" xr3:uid="{AD294B23-055C-419A-AD07-93B9DAABB87A}" name="Former name 3" dataDxfId="25"/>
  </tableColumns>
  <tableStyleInfo name="Rise of Kingdoms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AA7D-8666-423B-99D5-C32B7FCD51BB}">
  <dimension ref="A1:G158"/>
  <sheetViews>
    <sheetView topLeftCell="A99" workbookViewId="0">
      <selection activeCell="C119" sqref="C119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7" ht="24" customHeight="1" x14ac:dyDescent="0.35">
      <c r="B1" s="9" t="s">
        <v>240</v>
      </c>
      <c r="C1" s="10"/>
      <c r="D1" s="10"/>
    </row>
    <row r="2" spans="1:7" ht="20.149999999999999" customHeight="1" x14ac:dyDescent="0.35">
      <c r="B2" s="10"/>
      <c r="C2" s="10"/>
      <c r="D2" s="10"/>
    </row>
    <row r="3" spans="1:7" ht="20.149999999999999" customHeight="1" x14ac:dyDescent="0.35">
      <c r="B3" s="20" t="s">
        <v>236</v>
      </c>
      <c r="C3" s="20"/>
      <c r="D3" s="19">
        <v>3662</v>
      </c>
    </row>
    <row r="4" spans="1:7" ht="20.149999999999999" customHeight="1" x14ac:dyDescent="0.35">
      <c r="B4" s="20" t="s">
        <v>0</v>
      </c>
      <c r="C4" s="20"/>
      <c r="D4" s="10" t="s">
        <v>2</v>
      </c>
    </row>
    <row r="5" spans="1:7" ht="20.149999999999999" customHeight="1" x14ac:dyDescent="0.35">
      <c r="B5" s="20" t="s">
        <v>1</v>
      </c>
      <c r="C5" s="20"/>
      <c r="D5" s="10" t="s">
        <v>3</v>
      </c>
    </row>
    <row r="6" spans="1:7" ht="20.149999999999999" customHeight="1" x14ac:dyDescent="0.35">
      <c r="B6" s="20" t="s">
        <v>8</v>
      </c>
      <c r="C6" s="20"/>
      <c r="D6" s="11">
        <v>279760</v>
      </c>
    </row>
    <row r="7" spans="1:7" ht="20.149999999999999" customHeight="1" x14ac:dyDescent="0.35">
      <c r="B7" s="20" t="s">
        <v>6</v>
      </c>
      <c r="C7" s="20"/>
      <c r="D7" s="11" t="s">
        <v>7</v>
      </c>
    </row>
    <row r="8" spans="1:7" ht="20.149999999999999" customHeight="1" x14ac:dyDescent="0.35">
      <c r="B8" s="3"/>
      <c r="C8" s="3" t="s">
        <v>210</v>
      </c>
      <c r="D8" s="11">
        <v>18</v>
      </c>
    </row>
    <row r="9" spans="1:7" ht="20.149999999999999" customHeight="1" x14ac:dyDescent="0.35">
      <c r="B9" s="20" t="s">
        <v>4</v>
      </c>
      <c r="C9" s="20"/>
      <c r="D9" s="10" t="s">
        <v>5</v>
      </c>
    </row>
    <row r="10" spans="1:7" ht="20.149999999999999" customHeight="1" x14ac:dyDescent="0.35">
      <c r="B10" s="20" t="s">
        <v>152</v>
      </c>
      <c r="C10" s="20"/>
      <c r="D10" s="11">
        <v>1200</v>
      </c>
    </row>
    <row r="11" spans="1:7" ht="20.149999999999999" customHeight="1" x14ac:dyDescent="0.35"/>
    <row r="12" spans="1:7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7" ht="20.149999999999999" customHeight="1" x14ac:dyDescent="0.35">
      <c r="A13" s="2">
        <f>ROW(A1)</f>
        <v>1</v>
      </c>
      <c r="B13" s="14">
        <v>1</v>
      </c>
      <c r="C13" s="12" t="s">
        <v>11</v>
      </c>
      <c r="D13" s="15">
        <v>7520</v>
      </c>
      <c r="E13" s="15">
        <v>36</v>
      </c>
      <c r="F13" s="15">
        <v>36</v>
      </c>
      <c r="G13" s="15">
        <f t="shared" ref="G13:G44" si="0">IFERROR(D13/F13,0)</f>
        <v>208.88888888888889</v>
      </c>
    </row>
    <row r="14" spans="1:7" ht="20.149999999999999" customHeight="1" x14ac:dyDescent="0.35">
      <c r="A14" s="2">
        <f t="shared" ref="A14:A77" si="1">ROW(A2)</f>
        <v>2</v>
      </c>
      <c r="B14" s="14">
        <v>2</v>
      </c>
      <c r="C14" s="12" t="s">
        <v>12</v>
      </c>
      <c r="D14" s="15">
        <v>6040</v>
      </c>
      <c r="E14" s="15">
        <v>28</v>
      </c>
      <c r="F14" s="15">
        <v>28</v>
      </c>
      <c r="G14" s="15">
        <f t="shared" si="0"/>
        <v>215.71428571428572</v>
      </c>
    </row>
    <row r="15" spans="1:7" ht="20.149999999999999" customHeight="1" x14ac:dyDescent="0.35">
      <c r="A15" s="2">
        <f t="shared" si="1"/>
        <v>3</v>
      </c>
      <c r="B15" s="14">
        <v>3</v>
      </c>
      <c r="C15" s="12" t="s">
        <v>13</v>
      </c>
      <c r="D15" s="15">
        <v>3960</v>
      </c>
      <c r="E15" s="15">
        <v>18</v>
      </c>
      <c r="F15" s="15">
        <v>18</v>
      </c>
      <c r="G15" s="15">
        <f t="shared" si="0"/>
        <v>220</v>
      </c>
    </row>
    <row r="16" spans="1:7" ht="20.149999999999999" customHeight="1" x14ac:dyDescent="0.35">
      <c r="A16" s="2">
        <f t="shared" si="1"/>
        <v>4</v>
      </c>
      <c r="B16" s="14">
        <v>4</v>
      </c>
      <c r="C16" s="12" t="s">
        <v>14</v>
      </c>
      <c r="D16" s="15">
        <v>3920</v>
      </c>
      <c r="E16" s="15">
        <v>21</v>
      </c>
      <c r="F16" s="15">
        <v>21</v>
      </c>
      <c r="G16" s="15">
        <f t="shared" si="0"/>
        <v>186.66666666666666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15</v>
      </c>
      <c r="D17" s="15">
        <v>3780</v>
      </c>
      <c r="E17" s="15">
        <v>19</v>
      </c>
      <c r="F17" s="15">
        <v>19</v>
      </c>
      <c r="G17" s="15">
        <f t="shared" si="0"/>
        <v>198.94736842105263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17</v>
      </c>
      <c r="D18" s="15">
        <v>3620</v>
      </c>
      <c r="E18" s="15">
        <v>17</v>
      </c>
      <c r="F18" s="15">
        <v>17</v>
      </c>
      <c r="G18" s="15">
        <f t="shared" si="0"/>
        <v>212.94117647058823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41</v>
      </c>
      <c r="D19" s="15">
        <v>3320</v>
      </c>
      <c r="E19" s="15">
        <v>19</v>
      </c>
      <c r="F19" s="15">
        <v>19</v>
      </c>
      <c r="G19" s="15">
        <f t="shared" si="0"/>
        <v>174.73684210526315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190</v>
      </c>
      <c r="D20" s="15">
        <v>3310</v>
      </c>
      <c r="E20" s="15">
        <v>16</v>
      </c>
      <c r="F20" s="15">
        <v>16</v>
      </c>
      <c r="G20" s="15">
        <f t="shared" si="0"/>
        <v>206.875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171</v>
      </c>
      <c r="D21" s="15">
        <v>3300</v>
      </c>
      <c r="E21" s="15">
        <v>15</v>
      </c>
      <c r="F21" s="15">
        <v>15</v>
      </c>
      <c r="G21" s="15">
        <f t="shared" si="0"/>
        <v>220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18</v>
      </c>
      <c r="D22" s="15">
        <v>3240</v>
      </c>
      <c r="E22" s="15">
        <v>17</v>
      </c>
      <c r="F22" s="15">
        <v>17</v>
      </c>
      <c r="G22" s="15">
        <f t="shared" si="0"/>
        <v>190.58823529411765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114</v>
      </c>
      <c r="D23" s="15">
        <v>3220</v>
      </c>
      <c r="E23" s="15">
        <v>18</v>
      </c>
      <c r="F23" s="15">
        <v>18</v>
      </c>
      <c r="G23" s="15">
        <f t="shared" si="0"/>
        <v>178.88888888888889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19</v>
      </c>
      <c r="D24" s="15">
        <v>3210</v>
      </c>
      <c r="E24" s="15">
        <v>17</v>
      </c>
      <c r="F24" s="15">
        <v>17</v>
      </c>
      <c r="G24" s="15">
        <f t="shared" si="0"/>
        <v>188.8235294117647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115</v>
      </c>
      <c r="D25" s="15">
        <v>3120</v>
      </c>
      <c r="E25" s="15">
        <v>15</v>
      </c>
      <c r="F25" s="15">
        <v>15</v>
      </c>
      <c r="G25" s="15">
        <f t="shared" si="0"/>
        <v>208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109</v>
      </c>
      <c r="D26" s="15">
        <v>2960</v>
      </c>
      <c r="E26" s="15">
        <v>15</v>
      </c>
      <c r="F26" s="15">
        <v>15</v>
      </c>
      <c r="G26" s="15">
        <f t="shared" si="0"/>
        <v>197.33333333333334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204</v>
      </c>
      <c r="D27" s="15">
        <v>2920</v>
      </c>
      <c r="E27" s="15">
        <v>15</v>
      </c>
      <c r="F27" s="15">
        <v>15</v>
      </c>
      <c r="G27" s="15">
        <f t="shared" si="0"/>
        <v>194.66666666666666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164</v>
      </c>
      <c r="D28" s="15">
        <v>2910</v>
      </c>
      <c r="E28" s="15">
        <v>15</v>
      </c>
      <c r="F28" s="15">
        <v>15</v>
      </c>
      <c r="G28" s="15">
        <f t="shared" si="0"/>
        <v>194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178</v>
      </c>
      <c r="D29" s="15">
        <v>2880</v>
      </c>
      <c r="E29" s="15">
        <v>15</v>
      </c>
      <c r="F29" s="15">
        <v>15</v>
      </c>
      <c r="G29" s="15">
        <f t="shared" si="0"/>
        <v>192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20</v>
      </c>
      <c r="D30" s="15">
        <v>2880</v>
      </c>
      <c r="E30" s="15">
        <v>14</v>
      </c>
      <c r="F30" s="15">
        <v>14</v>
      </c>
      <c r="G30" s="15">
        <f t="shared" si="0"/>
        <v>205.71428571428572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116</v>
      </c>
      <c r="D31" s="15">
        <v>2860</v>
      </c>
      <c r="E31" s="15">
        <v>16</v>
      </c>
      <c r="F31" s="15">
        <v>16</v>
      </c>
      <c r="G31" s="15">
        <f t="shared" si="0"/>
        <v>178.75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21</v>
      </c>
      <c r="D32" s="15">
        <v>2860</v>
      </c>
      <c r="E32" s="15">
        <v>14</v>
      </c>
      <c r="F32" s="15">
        <v>14</v>
      </c>
      <c r="G32" s="15">
        <f t="shared" si="0"/>
        <v>204.28571428571428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182</v>
      </c>
      <c r="D33" s="15">
        <v>2850</v>
      </c>
      <c r="E33" s="15">
        <v>16</v>
      </c>
      <c r="F33" s="15">
        <v>16</v>
      </c>
      <c r="G33" s="15">
        <f t="shared" si="0"/>
        <v>178.125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117</v>
      </c>
      <c r="D34" s="15">
        <v>2820</v>
      </c>
      <c r="E34" s="15">
        <v>15</v>
      </c>
      <c r="F34" s="15">
        <v>15</v>
      </c>
      <c r="G34" s="15">
        <f t="shared" si="0"/>
        <v>188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22</v>
      </c>
      <c r="D35" s="15">
        <v>2800</v>
      </c>
      <c r="E35" s="15">
        <v>15</v>
      </c>
      <c r="F35" s="15">
        <v>15</v>
      </c>
      <c r="G35" s="15">
        <f t="shared" si="0"/>
        <v>186.66666666666666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23</v>
      </c>
      <c r="D36" s="15">
        <v>2800</v>
      </c>
      <c r="E36" s="15">
        <v>14</v>
      </c>
      <c r="F36" s="15">
        <v>14</v>
      </c>
      <c r="G36" s="15">
        <f t="shared" si="0"/>
        <v>200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24</v>
      </c>
      <c r="D37" s="15">
        <v>2780</v>
      </c>
      <c r="E37" s="15">
        <v>13</v>
      </c>
      <c r="F37" s="15">
        <v>13</v>
      </c>
      <c r="G37" s="15">
        <f t="shared" si="0"/>
        <v>213.84615384615384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25</v>
      </c>
      <c r="D38" s="15">
        <v>2750</v>
      </c>
      <c r="E38" s="15">
        <v>14</v>
      </c>
      <c r="F38" s="15">
        <v>14</v>
      </c>
      <c r="G38" s="15">
        <f t="shared" si="0"/>
        <v>196.42857142857142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26</v>
      </c>
      <c r="D39" s="15">
        <v>2730</v>
      </c>
      <c r="E39" s="15">
        <v>18</v>
      </c>
      <c r="F39" s="15">
        <v>18</v>
      </c>
      <c r="G39" s="15">
        <f t="shared" si="0"/>
        <v>151.66666666666666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27</v>
      </c>
      <c r="D40" s="15">
        <v>2660</v>
      </c>
      <c r="E40" s="15">
        <v>18</v>
      </c>
      <c r="F40" s="15">
        <v>18</v>
      </c>
      <c r="G40" s="15">
        <f t="shared" si="0"/>
        <v>147.77777777777777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28</v>
      </c>
      <c r="D41" s="15">
        <v>2660</v>
      </c>
      <c r="E41" s="15">
        <v>15</v>
      </c>
      <c r="F41" s="15">
        <v>15</v>
      </c>
      <c r="G41" s="15">
        <f t="shared" si="0"/>
        <v>177.33333333333334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118</v>
      </c>
      <c r="D42" s="15">
        <v>2660</v>
      </c>
      <c r="E42" s="15">
        <v>13</v>
      </c>
      <c r="F42" s="15">
        <v>13</v>
      </c>
      <c r="G42" s="15">
        <f t="shared" si="0"/>
        <v>204.61538461538461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29</v>
      </c>
      <c r="D43" s="15">
        <v>2600</v>
      </c>
      <c r="E43" s="15">
        <v>12</v>
      </c>
      <c r="F43" s="15">
        <v>12</v>
      </c>
      <c r="G43" s="15">
        <f t="shared" si="0"/>
        <v>216.66666666666666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119</v>
      </c>
      <c r="D44" s="15">
        <v>2580</v>
      </c>
      <c r="E44" s="15">
        <v>15</v>
      </c>
      <c r="F44" s="15">
        <v>15</v>
      </c>
      <c r="G44" s="15">
        <f t="shared" si="0"/>
        <v>172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30</v>
      </c>
      <c r="D45" s="15">
        <v>2580</v>
      </c>
      <c r="E45" s="15">
        <v>15</v>
      </c>
      <c r="F45" s="15">
        <v>15</v>
      </c>
      <c r="G45" s="15">
        <f t="shared" ref="G45:G76" si="2">IFERROR(D45/F45,0)</f>
        <v>172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110</v>
      </c>
      <c r="D46" s="15">
        <v>2580</v>
      </c>
      <c r="E46" s="15">
        <v>13</v>
      </c>
      <c r="F46" s="15">
        <v>13</v>
      </c>
      <c r="G46" s="15">
        <f t="shared" si="2"/>
        <v>198.46153846153845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31</v>
      </c>
      <c r="D47" s="15">
        <v>2570</v>
      </c>
      <c r="E47" s="15">
        <v>15</v>
      </c>
      <c r="F47" s="15">
        <v>15</v>
      </c>
      <c r="G47" s="15">
        <f t="shared" si="2"/>
        <v>171.33333333333334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32</v>
      </c>
      <c r="D48" s="15">
        <v>2560</v>
      </c>
      <c r="E48" s="15">
        <v>14</v>
      </c>
      <c r="F48" s="15">
        <v>14</v>
      </c>
      <c r="G48" s="15">
        <f t="shared" si="2"/>
        <v>182.85714285714286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33</v>
      </c>
      <c r="D49" s="15">
        <v>2550</v>
      </c>
      <c r="E49" s="15">
        <v>12</v>
      </c>
      <c r="F49" s="15">
        <v>12</v>
      </c>
      <c r="G49" s="15">
        <f t="shared" si="2"/>
        <v>212.5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34</v>
      </c>
      <c r="D50" s="15">
        <v>2540</v>
      </c>
      <c r="E50" s="15">
        <v>15</v>
      </c>
      <c r="F50" s="15">
        <v>15</v>
      </c>
      <c r="G50" s="15">
        <f t="shared" si="2"/>
        <v>169.33333333333334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170</v>
      </c>
      <c r="D51" s="15">
        <v>2530</v>
      </c>
      <c r="E51" s="15">
        <v>16</v>
      </c>
      <c r="F51" s="15">
        <v>16</v>
      </c>
      <c r="G51" s="15">
        <f t="shared" si="2"/>
        <v>158.125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35</v>
      </c>
      <c r="D52" s="15">
        <v>2480</v>
      </c>
      <c r="E52" s="15">
        <v>13</v>
      </c>
      <c r="F52" s="15">
        <v>13</v>
      </c>
      <c r="G52" s="15">
        <f t="shared" si="2"/>
        <v>190.76923076923077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36</v>
      </c>
      <c r="D53" s="15">
        <v>2480</v>
      </c>
      <c r="E53" s="15">
        <v>12</v>
      </c>
      <c r="F53" s="15">
        <v>12</v>
      </c>
      <c r="G53" s="15">
        <f t="shared" si="2"/>
        <v>206.66666666666666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37</v>
      </c>
      <c r="D54" s="15">
        <v>2470</v>
      </c>
      <c r="E54" s="15">
        <v>14</v>
      </c>
      <c r="F54" s="15">
        <v>14</v>
      </c>
      <c r="G54" s="15">
        <f t="shared" si="2"/>
        <v>176.42857142857142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175</v>
      </c>
      <c r="D55" s="15">
        <v>2440</v>
      </c>
      <c r="E55" s="15">
        <v>15</v>
      </c>
      <c r="F55" s="15">
        <v>15</v>
      </c>
      <c r="G55" s="15">
        <f t="shared" si="2"/>
        <v>162.66666666666666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38</v>
      </c>
      <c r="D56" s="15">
        <v>2430</v>
      </c>
      <c r="E56" s="15">
        <v>13</v>
      </c>
      <c r="F56" s="15">
        <v>13</v>
      </c>
      <c r="G56" s="15">
        <f t="shared" si="2"/>
        <v>186.92307692307693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39</v>
      </c>
      <c r="D57" s="15">
        <v>2420</v>
      </c>
      <c r="E57" s="15">
        <v>13</v>
      </c>
      <c r="F57" s="15">
        <v>13</v>
      </c>
      <c r="G57" s="15">
        <f t="shared" si="2"/>
        <v>186.15384615384616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40</v>
      </c>
      <c r="D58" s="15">
        <v>2420</v>
      </c>
      <c r="E58" s="15">
        <v>12</v>
      </c>
      <c r="F58" s="15">
        <v>12</v>
      </c>
      <c r="G58" s="15">
        <f t="shared" si="2"/>
        <v>201.66666666666666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149</v>
      </c>
      <c r="D59" s="15">
        <v>2400</v>
      </c>
      <c r="E59" s="15">
        <v>14</v>
      </c>
      <c r="F59" s="15">
        <v>14</v>
      </c>
      <c r="G59" s="15">
        <f t="shared" si="2"/>
        <v>171.42857142857142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42</v>
      </c>
      <c r="D60" s="15">
        <v>2220</v>
      </c>
      <c r="E60" s="15">
        <v>13</v>
      </c>
      <c r="F60" s="15">
        <v>13</v>
      </c>
      <c r="G60" s="15">
        <f t="shared" si="2"/>
        <v>170.76923076923077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43</v>
      </c>
      <c r="D61" s="15">
        <v>2220</v>
      </c>
      <c r="E61" s="15">
        <v>12</v>
      </c>
      <c r="F61" s="15">
        <v>12</v>
      </c>
      <c r="G61" s="15">
        <f t="shared" si="2"/>
        <v>185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44</v>
      </c>
      <c r="D62" s="15">
        <v>2220</v>
      </c>
      <c r="E62" s="15">
        <v>10</v>
      </c>
      <c r="F62" s="15">
        <v>10</v>
      </c>
      <c r="G62" s="15">
        <f t="shared" si="2"/>
        <v>222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205</v>
      </c>
      <c r="D63" s="15">
        <v>2210</v>
      </c>
      <c r="E63" s="15">
        <v>15</v>
      </c>
      <c r="F63" s="15">
        <v>15</v>
      </c>
      <c r="G63" s="15">
        <f t="shared" si="2"/>
        <v>147.33333333333334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180</v>
      </c>
      <c r="D64" s="15">
        <v>2200</v>
      </c>
      <c r="E64" s="15">
        <v>14</v>
      </c>
      <c r="F64" s="15">
        <v>14</v>
      </c>
      <c r="G64" s="15">
        <f t="shared" si="2"/>
        <v>157.14285714285714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111</v>
      </c>
      <c r="D65" s="15">
        <v>2190</v>
      </c>
      <c r="E65" s="15">
        <v>13</v>
      </c>
      <c r="F65" s="15">
        <v>13</v>
      </c>
      <c r="G65" s="15">
        <f t="shared" si="2"/>
        <v>168.46153846153845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179</v>
      </c>
      <c r="D66" s="15">
        <v>2180</v>
      </c>
      <c r="E66" s="15">
        <v>15</v>
      </c>
      <c r="F66" s="15">
        <v>15</v>
      </c>
      <c r="G66" s="15">
        <f t="shared" si="2"/>
        <v>145.33333333333334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113</v>
      </c>
      <c r="D67" s="15">
        <v>2180</v>
      </c>
      <c r="E67" s="15">
        <v>11</v>
      </c>
      <c r="F67" s="15">
        <v>11</v>
      </c>
      <c r="G67" s="15">
        <f t="shared" si="2"/>
        <v>198.18181818181819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45</v>
      </c>
      <c r="D68" s="15">
        <v>2130</v>
      </c>
      <c r="E68" s="15">
        <v>15</v>
      </c>
      <c r="F68" s="15">
        <v>15</v>
      </c>
      <c r="G68" s="15">
        <f t="shared" si="2"/>
        <v>142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46</v>
      </c>
      <c r="D69" s="15">
        <v>2120</v>
      </c>
      <c r="E69" s="15">
        <v>11</v>
      </c>
      <c r="F69" s="15">
        <v>11</v>
      </c>
      <c r="G69" s="15">
        <f t="shared" si="2"/>
        <v>192.72727272727272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47</v>
      </c>
      <c r="D70" s="15">
        <v>2100</v>
      </c>
      <c r="E70" s="15">
        <v>15</v>
      </c>
      <c r="F70" s="15">
        <v>15</v>
      </c>
      <c r="G70" s="15">
        <f t="shared" si="2"/>
        <v>140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120</v>
      </c>
      <c r="D71" s="15">
        <v>2100</v>
      </c>
      <c r="E71" s="15">
        <v>12</v>
      </c>
      <c r="F71" s="15">
        <v>12</v>
      </c>
      <c r="G71" s="15">
        <f t="shared" si="2"/>
        <v>175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121</v>
      </c>
      <c r="D72" s="15">
        <v>2090</v>
      </c>
      <c r="E72" s="15">
        <v>13</v>
      </c>
      <c r="F72" s="15">
        <v>13</v>
      </c>
      <c r="G72" s="15">
        <f t="shared" si="2"/>
        <v>160.76923076923077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200</v>
      </c>
      <c r="D73" s="15">
        <v>2080</v>
      </c>
      <c r="E73" s="15">
        <v>13</v>
      </c>
      <c r="F73" s="15">
        <v>13</v>
      </c>
      <c r="G73" s="15">
        <f t="shared" si="2"/>
        <v>160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142</v>
      </c>
      <c r="D74" s="15">
        <v>2080</v>
      </c>
      <c r="E74" s="15">
        <v>11</v>
      </c>
      <c r="F74" s="15">
        <v>11</v>
      </c>
      <c r="G74" s="15">
        <f t="shared" si="2"/>
        <v>189.09090909090909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185</v>
      </c>
      <c r="D75" s="15">
        <v>2060</v>
      </c>
      <c r="E75" s="15">
        <v>13</v>
      </c>
      <c r="F75" s="15">
        <v>13</v>
      </c>
      <c r="G75" s="15">
        <f t="shared" si="2"/>
        <v>158.46153846153845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48</v>
      </c>
      <c r="D76" s="15">
        <v>2060</v>
      </c>
      <c r="E76" s="15">
        <v>11</v>
      </c>
      <c r="F76" s="15">
        <v>11</v>
      </c>
      <c r="G76" s="15">
        <f t="shared" si="2"/>
        <v>187.27272727272728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49</v>
      </c>
      <c r="D77" s="15">
        <v>2040</v>
      </c>
      <c r="E77" s="15">
        <v>12</v>
      </c>
      <c r="F77" s="15">
        <v>12</v>
      </c>
      <c r="G77" s="15">
        <f t="shared" ref="G77:G108" si="3">IFERROR(D77/F77,0)</f>
        <v>170</v>
      </c>
    </row>
    <row r="78" spans="1:7" ht="20.149999999999999" customHeight="1" x14ac:dyDescent="0.35">
      <c r="A78" s="2">
        <f t="shared" ref="A78:A141" si="4">ROW(A66)</f>
        <v>66</v>
      </c>
      <c r="B78" s="14">
        <v>66</v>
      </c>
      <c r="C78" s="12" t="s">
        <v>112</v>
      </c>
      <c r="D78" s="15">
        <v>2030</v>
      </c>
      <c r="E78" s="15">
        <v>13</v>
      </c>
      <c r="F78" s="15">
        <v>13</v>
      </c>
      <c r="G78" s="15">
        <f t="shared" si="3"/>
        <v>156.15384615384616</v>
      </c>
    </row>
    <row r="79" spans="1:7" ht="20.149999999999999" customHeight="1" x14ac:dyDescent="0.35">
      <c r="A79" s="2">
        <f t="shared" si="4"/>
        <v>67</v>
      </c>
      <c r="B79" s="14">
        <v>67</v>
      </c>
      <c r="C79" s="12" t="s">
        <v>122</v>
      </c>
      <c r="D79" s="15">
        <v>2010</v>
      </c>
      <c r="E79" s="15">
        <v>11</v>
      </c>
      <c r="F79" s="15">
        <v>11</v>
      </c>
      <c r="G79" s="15">
        <f t="shared" si="3"/>
        <v>182.72727272727272</v>
      </c>
    </row>
    <row r="80" spans="1:7" ht="20.149999999999999" customHeight="1" x14ac:dyDescent="0.35">
      <c r="A80" s="2">
        <f t="shared" si="4"/>
        <v>68</v>
      </c>
      <c r="B80" s="14">
        <v>68</v>
      </c>
      <c r="C80" s="12" t="s">
        <v>50</v>
      </c>
      <c r="D80" s="15">
        <v>1830</v>
      </c>
      <c r="E80" s="15">
        <v>13</v>
      </c>
      <c r="F80" s="15">
        <v>13</v>
      </c>
      <c r="G80" s="15">
        <f t="shared" si="3"/>
        <v>140.76923076923077</v>
      </c>
    </row>
    <row r="81" spans="1:7" ht="20.149999999999999" customHeight="1" x14ac:dyDescent="0.35">
      <c r="A81" s="2">
        <f t="shared" si="4"/>
        <v>69</v>
      </c>
      <c r="B81" s="14">
        <v>69</v>
      </c>
      <c r="C81" s="12" t="s">
        <v>51</v>
      </c>
      <c r="D81" s="15">
        <v>1830</v>
      </c>
      <c r="E81" s="15">
        <v>10</v>
      </c>
      <c r="F81" s="15">
        <v>10</v>
      </c>
      <c r="G81" s="15">
        <f t="shared" si="3"/>
        <v>183</v>
      </c>
    </row>
    <row r="82" spans="1:7" ht="20.149999999999999" customHeight="1" x14ac:dyDescent="0.35">
      <c r="A82" s="2">
        <f t="shared" si="4"/>
        <v>70</v>
      </c>
      <c r="B82" s="14">
        <v>70</v>
      </c>
      <c r="C82" s="12" t="s">
        <v>52</v>
      </c>
      <c r="D82" s="15">
        <v>1800</v>
      </c>
      <c r="E82" s="15">
        <v>11</v>
      </c>
      <c r="F82" s="15">
        <v>11</v>
      </c>
      <c r="G82" s="15">
        <f t="shared" si="3"/>
        <v>163.63636363636363</v>
      </c>
    </row>
    <row r="83" spans="1:7" ht="20.149999999999999" customHeight="1" x14ac:dyDescent="0.35">
      <c r="A83" s="2">
        <f t="shared" si="4"/>
        <v>71</v>
      </c>
      <c r="B83" s="14">
        <v>71</v>
      </c>
      <c r="C83" s="12" t="s">
        <v>53</v>
      </c>
      <c r="D83" s="15">
        <v>1790</v>
      </c>
      <c r="E83" s="15">
        <v>12</v>
      </c>
      <c r="F83" s="15">
        <v>12</v>
      </c>
      <c r="G83" s="15">
        <f t="shared" si="3"/>
        <v>149.16666666666666</v>
      </c>
    </row>
    <row r="84" spans="1:7" ht="20.149999999999999" customHeight="1" x14ac:dyDescent="0.35">
      <c r="A84" s="2">
        <f t="shared" si="4"/>
        <v>72</v>
      </c>
      <c r="B84" s="14">
        <v>72</v>
      </c>
      <c r="C84" s="12" t="s">
        <v>54</v>
      </c>
      <c r="D84" s="15">
        <v>1790</v>
      </c>
      <c r="E84" s="15">
        <v>11</v>
      </c>
      <c r="F84" s="15">
        <v>11</v>
      </c>
      <c r="G84" s="15">
        <f t="shared" si="3"/>
        <v>162.72727272727272</v>
      </c>
    </row>
    <row r="85" spans="1:7" ht="20.149999999999999" customHeight="1" x14ac:dyDescent="0.35">
      <c r="A85" s="2">
        <f t="shared" si="4"/>
        <v>73</v>
      </c>
      <c r="B85" s="14">
        <v>73</v>
      </c>
      <c r="C85" s="12" t="s">
        <v>55</v>
      </c>
      <c r="D85" s="15">
        <v>1790</v>
      </c>
      <c r="E85" s="15">
        <v>10</v>
      </c>
      <c r="F85" s="15">
        <v>10</v>
      </c>
      <c r="G85" s="15">
        <f t="shared" si="3"/>
        <v>179</v>
      </c>
    </row>
    <row r="86" spans="1:7" ht="20.149999999999999" customHeight="1" x14ac:dyDescent="0.35">
      <c r="A86" s="2">
        <f t="shared" si="4"/>
        <v>74</v>
      </c>
      <c r="B86" s="14">
        <v>74</v>
      </c>
      <c r="C86" s="12" t="s">
        <v>192</v>
      </c>
      <c r="D86" s="15">
        <v>1780</v>
      </c>
      <c r="E86" s="15">
        <v>10</v>
      </c>
      <c r="F86" s="15">
        <v>10</v>
      </c>
      <c r="G86" s="15">
        <f t="shared" si="3"/>
        <v>178</v>
      </c>
    </row>
    <row r="87" spans="1:7" ht="20.149999999999999" customHeight="1" x14ac:dyDescent="0.35">
      <c r="A87" s="2">
        <f t="shared" si="4"/>
        <v>75</v>
      </c>
      <c r="B87" s="14">
        <v>75</v>
      </c>
      <c r="C87" s="12" t="s">
        <v>56</v>
      </c>
      <c r="D87" s="15">
        <v>1740</v>
      </c>
      <c r="E87" s="15">
        <v>9</v>
      </c>
      <c r="F87" s="15">
        <v>9</v>
      </c>
      <c r="G87" s="15">
        <f t="shared" si="3"/>
        <v>193.33333333333334</v>
      </c>
    </row>
    <row r="88" spans="1:7" ht="20.149999999999999" customHeight="1" x14ac:dyDescent="0.35">
      <c r="A88" s="2">
        <f t="shared" si="4"/>
        <v>76</v>
      </c>
      <c r="B88" s="14">
        <v>76</v>
      </c>
      <c r="C88" s="12" t="s">
        <v>169</v>
      </c>
      <c r="D88" s="15">
        <v>1730</v>
      </c>
      <c r="E88" s="15">
        <v>10</v>
      </c>
      <c r="F88" s="15">
        <v>10</v>
      </c>
      <c r="G88" s="15">
        <f t="shared" si="3"/>
        <v>173</v>
      </c>
    </row>
    <row r="89" spans="1:7" ht="20.149999999999999" customHeight="1" x14ac:dyDescent="0.35">
      <c r="A89" s="2">
        <f t="shared" si="4"/>
        <v>77</v>
      </c>
      <c r="B89" s="14">
        <v>77</v>
      </c>
      <c r="C89" s="12" t="s">
        <v>57</v>
      </c>
      <c r="D89" s="15">
        <v>1720</v>
      </c>
      <c r="E89" s="15">
        <v>11</v>
      </c>
      <c r="F89" s="15">
        <v>11</v>
      </c>
      <c r="G89" s="15">
        <f t="shared" si="3"/>
        <v>156.36363636363637</v>
      </c>
    </row>
    <row r="90" spans="1:7" ht="20.149999999999999" customHeight="1" x14ac:dyDescent="0.35">
      <c r="A90" s="2">
        <f t="shared" si="4"/>
        <v>78</v>
      </c>
      <c r="B90" s="14">
        <v>78</v>
      </c>
      <c r="C90" s="12" t="s">
        <v>186</v>
      </c>
      <c r="D90" s="15">
        <v>1700</v>
      </c>
      <c r="E90" s="15">
        <v>9</v>
      </c>
      <c r="F90" s="15">
        <v>9</v>
      </c>
      <c r="G90" s="15">
        <f t="shared" si="3"/>
        <v>188.88888888888889</v>
      </c>
    </row>
    <row r="91" spans="1:7" ht="20.149999999999999" customHeight="1" x14ac:dyDescent="0.35">
      <c r="A91" s="2">
        <f t="shared" si="4"/>
        <v>79</v>
      </c>
      <c r="B91" s="14">
        <v>79</v>
      </c>
      <c r="C91" s="12" t="s">
        <v>58</v>
      </c>
      <c r="D91" s="15">
        <v>1680</v>
      </c>
      <c r="E91" s="15">
        <v>13</v>
      </c>
      <c r="F91" s="15">
        <v>13</v>
      </c>
      <c r="G91" s="15">
        <f t="shared" si="3"/>
        <v>129.23076923076923</v>
      </c>
    </row>
    <row r="92" spans="1:7" ht="20.149999999999999" customHeight="1" x14ac:dyDescent="0.35">
      <c r="A92" s="2">
        <f t="shared" si="4"/>
        <v>80</v>
      </c>
      <c r="B92" s="14">
        <v>80</v>
      </c>
      <c r="C92" s="12" t="s">
        <v>59</v>
      </c>
      <c r="D92" s="15">
        <v>1640</v>
      </c>
      <c r="E92" s="15">
        <v>9</v>
      </c>
      <c r="F92" s="15">
        <v>9</v>
      </c>
      <c r="G92" s="15">
        <f t="shared" si="3"/>
        <v>182.22222222222223</v>
      </c>
    </row>
    <row r="93" spans="1:7" ht="20.149999999999999" customHeight="1" x14ac:dyDescent="0.35">
      <c r="A93" s="2">
        <f t="shared" si="4"/>
        <v>81</v>
      </c>
      <c r="B93" s="14">
        <v>81</v>
      </c>
      <c r="C93" s="12" t="s">
        <v>229</v>
      </c>
      <c r="D93" s="15">
        <v>1630</v>
      </c>
      <c r="E93" s="15">
        <v>13</v>
      </c>
      <c r="F93" s="15">
        <v>13</v>
      </c>
      <c r="G93" s="15">
        <f t="shared" si="3"/>
        <v>125.38461538461539</v>
      </c>
    </row>
    <row r="94" spans="1:7" ht="20.149999999999999" customHeight="1" x14ac:dyDescent="0.35">
      <c r="A94" s="2">
        <f t="shared" si="4"/>
        <v>82</v>
      </c>
      <c r="B94" s="14">
        <v>82</v>
      </c>
      <c r="C94" s="12" t="s">
        <v>107</v>
      </c>
      <c r="D94" s="15">
        <v>1630</v>
      </c>
      <c r="E94" s="15">
        <v>11</v>
      </c>
      <c r="F94" s="15">
        <v>11</v>
      </c>
      <c r="G94" s="15">
        <f t="shared" si="3"/>
        <v>148.18181818181819</v>
      </c>
    </row>
    <row r="95" spans="1:7" ht="20.149999999999999" customHeight="1" x14ac:dyDescent="0.35">
      <c r="A95" s="2">
        <f t="shared" si="4"/>
        <v>83</v>
      </c>
      <c r="B95" s="14">
        <v>83</v>
      </c>
      <c r="C95" s="12" t="s">
        <v>60</v>
      </c>
      <c r="D95" s="15">
        <v>1610</v>
      </c>
      <c r="E95" s="15">
        <v>16</v>
      </c>
      <c r="F95" s="15">
        <v>16</v>
      </c>
      <c r="G95" s="15">
        <f t="shared" si="3"/>
        <v>100.625</v>
      </c>
    </row>
    <row r="96" spans="1:7" ht="20.149999999999999" customHeight="1" x14ac:dyDescent="0.35">
      <c r="A96" s="2">
        <f t="shared" si="4"/>
        <v>84</v>
      </c>
      <c r="B96" s="14">
        <v>84</v>
      </c>
      <c r="C96" s="12" t="s">
        <v>61</v>
      </c>
      <c r="D96" s="15">
        <v>1600</v>
      </c>
      <c r="E96" s="15">
        <v>12</v>
      </c>
      <c r="F96" s="15">
        <v>12</v>
      </c>
      <c r="G96" s="15">
        <f t="shared" si="3"/>
        <v>133.33333333333334</v>
      </c>
    </row>
    <row r="97" spans="1:7" ht="20.149999999999999" customHeight="1" x14ac:dyDescent="0.35">
      <c r="A97" s="2">
        <f t="shared" si="4"/>
        <v>85</v>
      </c>
      <c r="B97" s="14">
        <v>85</v>
      </c>
      <c r="C97" s="12" t="s">
        <v>174</v>
      </c>
      <c r="D97" s="15">
        <v>1600</v>
      </c>
      <c r="E97" s="15">
        <v>10</v>
      </c>
      <c r="F97" s="15">
        <v>10</v>
      </c>
      <c r="G97" s="15">
        <f t="shared" si="3"/>
        <v>160</v>
      </c>
    </row>
    <row r="98" spans="1:7" ht="20.149999999999999" customHeight="1" x14ac:dyDescent="0.35">
      <c r="A98" s="2">
        <f t="shared" si="4"/>
        <v>86</v>
      </c>
      <c r="B98" s="14">
        <v>86</v>
      </c>
      <c r="C98" s="12" t="s">
        <v>62</v>
      </c>
      <c r="D98" s="15">
        <v>1590</v>
      </c>
      <c r="E98" s="15">
        <v>9</v>
      </c>
      <c r="F98" s="15">
        <v>9</v>
      </c>
      <c r="G98" s="15">
        <f t="shared" si="3"/>
        <v>176.66666666666666</v>
      </c>
    </row>
    <row r="99" spans="1:7" ht="20.149999999999999" customHeight="1" x14ac:dyDescent="0.35">
      <c r="A99" s="2">
        <f t="shared" si="4"/>
        <v>87</v>
      </c>
      <c r="B99" s="14">
        <v>87</v>
      </c>
      <c r="C99" s="12" t="s">
        <v>63</v>
      </c>
      <c r="D99" s="15">
        <v>1580</v>
      </c>
      <c r="E99" s="15">
        <v>11</v>
      </c>
      <c r="F99" s="15">
        <v>11</v>
      </c>
      <c r="G99" s="15">
        <f t="shared" si="3"/>
        <v>143.63636363636363</v>
      </c>
    </row>
    <row r="100" spans="1:7" ht="20.149999999999999" customHeight="1" x14ac:dyDescent="0.35">
      <c r="A100" s="2">
        <f t="shared" si="4"/>
        <v>88</v>
      </c>
      <c r="B100" s="14">
        <v>88</v>
      </c>
      <c r="C100" s="12" t="s">
        <v>64</v>
      </c>
      <c r="D100" s="15">
        <v>1580</v>
      </c>
      <c r="E100" s="15">
        <v>10</v>
      </c>
      <c r="F100" s="15">
        <v>10</v>
      </c>
      <c r="G100" s="15">
        <f t="shared" si="3"/>
        <v>158</v>
      </c>
    </row>
    <row r="101" spans="1:7" ht="20.149999999999999" customHeight="1" x14ac:dyDescent="0.35">
      <c r="A101" s="2">
        <f t="shared" si="4"/>
        <v>89</v>
      </c>
      <c r="B101" s="14">
        <v>89</v>
      </c>
      <c r="C101" s="12" t="s">
        <v>65</v>
      </c>
      <c r="D101" s="15">
        <v>1570</v>
      </c>
      <c r="E101" s="15">
        <v>12</v>
      </c>
      <c r="F101" s="15">
        <v>12</v>
      </c>
      <c r="G101" s="15">
        <f t="shared" si="3"/>
        <v>130.83333333333334</v>
      </c>
    </row>
    <row r="102" spans="1:7" ht="20.149999999999999" customHeight="1" x14ac:dyDescent="0.35">
      <c r="A102" s="2">
        <f t="shared" si="4"/>
        <v>90</v>
      </c>
      <c r="B102" s="14">
        <v>90</v>
      </c>
      <c r="C102" s="12" t="s">
        <v>187</v>
      </c>
      <c r="D102" s="15">
        <v>1570</v>
      </c>
      <c r="E102" s="15">
        <v>10</v>
      </c>
      <c r="F102" s="15">
        <v>10</v>
      </c>
      <c r="G102" s="15">
        <f t="shared" si="3"/>
        <v>157</v>
      </c>
    </row>
    <row r="103" spans="1:7" ht="20.149999999999999" customHeight="1" x14ac:dyDescent="0.35">
      <c r="A103" s="2">
        <f t="shared" si="4"/>
        <v>91</v>
      </c>
      <c r="B103" s="14">
        <v>91</v>
      </c>
      <c r="C103" s="13" t="s">
        <v>108</v>
      </c>
      <c r="D103" s="15">
        <v>1560</v>
      </c>
      <c r="E103" s="15">
        <v>9</v>
      </c>
      <c r="F103" s="15">
        <v>9</v>
      </c>
      <c r="G103" s="15">
        <f t="shared" si="3"/>
        <v>173.33333333333334</v>
      </c>
    </row>
    <row r="104" spans="1:7" ht="20.149999999999999" customHeight="1" x14ac:dyDescent="0.35">
      <c r="A104" s="2">
        <f t="shared" si="4"/>
        <v>92</v>
      </c>
      <c r="B104" s="14">
        <v>92</v>
      </c>
      <c r="C104" s="12" t="s">
        <v>71</v>
      </c>
      <c r="D104" s="15">
        <v>1500</v>
      </c>
      <c r="E104" s="15">
        <v>9</v>
      </c>
      <c r="F104" s="15">
        <v>9</v>
      </c>
      <c r="G104" s="15">
        <f t="shared" si="3"/>
        <v>166.66666666666666</v>
      </c>
    </row>
    <row r="105" spans="1:7" ht="20.149999999999999" customHeight="1" x14ac:dyDescent="0.35">
      <c r="A105" s="2">
        <f t="shared" si="4"/>
        <v>93</v>
      </c>
      <c r="B105" s="14">
        <v>93</v>
      </c>
      <c r="C105" s="12" t="s">
        <v>72</v>
      </c>
      <c r="D105" s="15">
        <v>1470</v>
      </c>
      <c r="E105" s="15">
        <v>11</v>
      </c>
      <c r="F105" s="15">
        <v>11</v>
      </c>
      <c r="G105" s="15">
        <f t="shared" si="3"/>
        <v>133.63636363636363</v>
      </c>
    </row>
    <row r="106" spans="1:7" ht="20.149999999999999" customHeight="1" x14ac:dyDescent="0.35">
      <c r="A106" s="2">
        <f t="shared" si="4"/>
        <v>94</v>
      </c>
      <c r="B106" s="14">
        <v>94</v>
      </c>
      <c r="C106" s="12" t="s">
        <v>73</v>
      </c>
      <c r="D106" s="15">
        <v>1460</v>
      </c>
      <c r="E106" s="15">
        <v>10</v>
      </c>
      <c r="F106" s="15">
        <v>10</v>
      </c>
      <c r="G106" s="15">
        <f t="shared" si="3"/>
        <v>146</v>
      </c>
    </row>
    <row r="107" spans="1:7" ht="20.149999999999999" customHeight="1" x14ac:dyDescent="0.35">
      <c r="A107" s="2">
        <f t="shared" si="4"/>
        <v>95</v>
      </c>
      <c r="B107" s="14">
        <v>95</v>
      </c>
      <c r="C107" s="12" t="s">
        <v>74</v>
      </c>
      <c r="D107" s="15">
        <v>1440</v>
      </c>
      <c r="E107" s="15">
        <v>8</v>
      </c>
      <c r="F107" s="15">
        <v>8</v>
      </c>
      <c r="G107" s="15">
        <f t="shared" si="3"/>
        <v>180</v>
      </c>
    </row>
    <row r="108" spans="1:7" ht="20.149999999999999" customHeight="1" x14ac:dyDescent="0.35">
      <c r="A108" s="2">
        <f t="shared" si="4"/>
        <v>96</v>
      </c>
      <c r="B108" s="14">
        <v>96</v>
      </c>
      <c r="C108" s="12" t="s">
        <v>75</v>
      </c>
      <c r="D108" s="15">
        <v>1430</v>
      </c>
      <c r="E108" s="15">
        <v>10</v>
      </c>
      <c r="F108" s="15">
        <v>10</v>
      </c>
      <c r="G108" s="15">
        <f t="shared" si="3"/>
        <v>143</v>
      </c>
    </row>
    <row r="109" spans="1:7" ht="20.149999999999999" customHeight="1" x14ac:dyDescent="0.35">
      <c r="A109" s="2">
        <f t="shared" si="4"/>
        <v>97</v>
      </c>
      <c r="B109" s="14">
        <v>97</v>
      </c>
      <c r="C109" s="12" t="s">
        <v>76</v>
      </c>
      <c r="D109" s="15">
        <v>1420</v>
      </c>
      <c r="E109" s="15">
        <v>9</v>
      </c>
      <c r="F109" s="15">
        <v>9</v>
      </c>
      <c r="G109" s="15">
        <f t="shared" ref="G109:G140" si="5">IFERROR(D109/F109,0)</f>
        <v>157.77777777777777</v>
      </c>
    </row>
    <row r="110" spans="1:7" ht="20.149999999999999" customHeight="1" x14ac:dyDescent="0.35">
      <c r="A110" s="2">
        <f t="shared" si="4"/>
        <v>98</v>
      </c>
      <c r="B110" s="14">
        <v>98</v>
      </c>
      <c r="C110" s="12" t="s">
        <v>123</v>
      </c>
      <c r="D110" s="15">
        <v>1380</v>
      </c>
      <c r="E110" s="15">
        <v>12</v>
      </c>
      <c r="F110" s="15">
        <v>12</v>
      </c>
      <c r="G110" s="15">
        <f t="shared" si="5"/>
        <v>115</v>
      </c>
    </row>
    <row r="111" spans="1:7" ht="20.149999999999999" customHeight="1" x14ac:dyDescent="0.35">
      <c r="A111" s="2">
        <f t="shared" si="4"/>
        <v>99</v>
      </c>
      <c r="B111" s="14">
        <v>99</v>
      </c>
      <c r="C111" s="12" t="s">
        <v>77</v>
      </c>
      <c r="D111" s="15">
        <v>1380</v>
      </c>
      <c r="E111" s="15">
        <v>11</v>
      </c>
      <c r="F111" s="15">
        <v>11</v>
      </c>
      <c r="G111" s="15">
        <f t="shared" si="5"/>
        <v>125.45454545454545</v>
      </c>
    </row>
    <row r="112" spans="1:7" ht="20.149999999999999" customHeight="1" x14ac:dyDescent="0.35">
      <c r="A112" s="2">
        <f t="shared" si="4"/>
        <v>100</v>
      </c>
      <c r="B112" s="14">
        <v>100</v>
      </c>
      <c r="C112" s="12" t="s">
        <v>78</v>
      </c>
      <c r="D112" s="15">
        <v>1360</v>
      </c>
      <c r="E112" s="15">
        <v>10</v>
      </c>
      <c r="F112" s="15">
        <v>10</v>
      </c>
      <c r="G112" s="15">
        <f t="shared" si="5"/>
        <v>136</v>
      </c>
    </row>
    <row r="113" spans="1:7" ht="20.149999999999999" customHeight="1" x14ac:dyDescent="0.35">
      <c r="A113" s="2">
        <f t="shared" si="4"/>
        <v>101</v>
      </c>
      <c r="B113" s="14">
        <v>101</v>
      </c>
      <c r="C113" s="12" t="s">
        <v>79</v>
      </c>
      <c r="D113" s="15">
        <v>1360</v>
      </c>
      <c r="E113" s="15">
        <v>7</v>
      </c>
      <c r="F113" s="15">
        <v>7</v>
      </c>
      <c r="G113" s="15">
        <f t="shared" si="5"/>
        <v>194.28571428571428</v>
      </c>
    </row>
    <row r="114" spans="1:7" ht="20.149999999999999" customHeight="1" x14ac:dyDescent="0.35">
      <c r="A114" s="2">
        <f t="shared" si="4"/>
        <v>102</v>
      </c>
      <c r="B114" s="14">
        <v>102</v>
      </c>
      <c r="C114" s="12" t="s">
        <v>124</v>
      </c>
      <c r="D114" s="15">
        <v>1350</v>
      </c>
      <c r="E114" s="15">
        <v>10</v>
      </c>
      <c r="F114" s="15">
        <v>10</v>
      </c>
      <c r="G114" s="15">
        <f t="shared" si="5"/>
        <v>135</v>
      </c>
    </row>
    <row r="115" spans="1:7" ht="20.149999999999999" customHeight="1" x14ac:dyDescent="0.35">
      <c r="A115" s="2">
        <f t="shared" si="4"/>
        <v>103</v>
      </c>
      <c r="B115" s="14">
        <v>103</v>
      </c>
      <c r="C115" s="12" t="s">
        <v>80</v>
      </c>
      <c r="D115" s="15">
        <v>1340</v>
      </c>
      <c r="E115" s="15">
        <v>9</v>
      </c>
      <c r="F115" s="15">
        <v>9</v>
      </c>
      <c r="G115" s="15">
        <f t="shared" si="5"/>
        <v>148.88888888888889</v>
      </c>
    </row>
    <row r="116" spans="1:7" ht="20.149999999999999" customHeight="1" x14ac:dyDescent="0.35">
      <c r="A116" s="2">
        <f t="shared" si="4"/>
        <v>104</v>
      </c>
      <c r="B116" s="14">
        <v>104</v>
      </c>
      <c r="C116" s="12" t="s">
        <v>81</v>
      </c>
      <c r="D116" s="15">
        <v>1340</v>
      </c>
      <c r="E116" s="15">
        <v>7</v>
      </c>
      <c r="F116" s="15">
        <v>7</v>
      </c>
      <c r="G116" s="15">
        <f t="shared" si="5"/>
        <v>191.42857142857142</v>
      </c>
    </row>
    <row r="117" spans="1:7" ht="20.149999999999999" customHeight="1" x14ac:dyDescent="0.35">
      <c r="A117" s="2">
        <f t="shared" si="4"/>
        <v>105</v>
      </c>
      <c r="B117" s="14">
        <v>105</v>
      </c>
      <c r="C117" s="12" t="s">
        <v>82</v>
      </c>
      <c r="D117" s="15">
        <v>1340</v>
      </c>
      <c r="E117" s="15">
        <v>7</v>
      </c>
      <c r="F117" s="15">
        <v>7</v>
      </c>
      <c r="G117" s="15">
        <f t="shared" si="5"/>
        <v>191.42857142857142</v>
      </c>
    </row>
    <row r="118" spans="1:7" ht="20.149999999999999" customHeight="1" x14ac:dyDescent="0.35">
      <c r="A118" s="2">
        <f t="shared" si="4"/>
        <v>106</v>
      </c>
      <c r="B118" s="14">
        <v>106</v>
      </c>
      <c r="C118" s="12" t="s">
        <v>83</v>
      </c>
      <c r="D118" s="15">
        <v>1320</v>
      </c>
      <c r="E118" s="15">
        <v>10</v>
      </c>
      <c r="F118" s="15">
        <v>10</v>
      </c>
      <c r="G118" s="15">
        <f t="shared" si="5"/>
        <v>132</v>
      </c>
    </row>
    <row r="119" spans="1:7" ht="20.149999999999999" customHeight="1" x14ac:dyDescent="0.35">
      <c r="A119" s="2">
        <f t="shared" si="4"/>
        <v>107</v>
      </c>
      <c r="B119" s="14">
        <v>107</v>
      </c>
      <c r="C119" s="12" t="s">
        <v>84</v>
      </c>
      <c r="D119" s="15">
        <v>1300</v>
      </c>
      <c r="E119" s="15">
        <v>14</v>
      </c>
      <c r="F119" s="15">
        <v>14</v>
      </c>
      <c r="G119" s="15">
        <f t="shared" si="5"/>
        <v>92.857142857142861</v>
      </c>
    </row>
    <row r="120" spans="1:7" ht="20.149999999999999" customHeight="1" x14ac:dyDescent="0.35">
      <c r="A120" s="2">
        <f t="shared" si="4"/>
        <v>108</v>
      </c>
      <c r="B120" s="14">
        <v>108</v>
      </c>
      <c r="C120" s="12" t="s">
        <v>85</v>
      </c>
      <c r="D120" s="15">
        <v>1300</v>
      </c>
      <c r="E120" s="15">
        <v>8</v>
      </c>
      <c r="F120" s="15">
        <v>8</v>
      </c>
      <c r="G120" s="15">
        <f t="shared" si="5"/>
        <v>162.5</v>
      </c>
    </row>
    <row r="121" spans="1:7" ht="20.149999999999999" customHeight="1" x14ac:dyDescent="0.35">
      <c r="A121" s="2">
        <f t="shared" si="4"/>
        <v>109</v>
      </c>
      <c r="B121" s="14">
        <v>109</v>
      </c>
      <c r="C121" s="12" t="s">
        <v>86</v>
      </c>
      <c r="D121" s="15">
        <v>1290</v>
      </c>
      <c r="E121" s="15">
        <v>9</v>
      </c>
      <c r="F121" s="15">
        <v>9</v>
      </c>
      <c r="G121" s="15">
        <f t="shared" si="5"/>
        <v>143.33333333333334</v>
      </c>
    </row>
    <row r="122" spans="1:7" ht="20.149999999999999" customHeight="1" x14ac:dyDescent="0.35">
      <c r="A122" s="2">
        <f t="shared" si="4"/>
        <v>110</v>
      </c>
      <c r="B122" s="14">
        <v>110</v>
      </c>
      <c r="C122" s="12" t="s">
        <v>87</v>
      </c>
      <c r="D122" s="15">
        <v>1280</v>
      </c>
      <c r="E122" s="15">
        <v>8</v>
      </c>
      <c r="F122" s="15">
        <v>8</v>
      </c>
      <c r="G122" s="15">
        <f t="shared" si="5"/>
        <v>160</v>
      </c>
    </row>
    <row r="123" spans="1:7" ht="20.149999999999999" customHeight="1" x14ac:dyDescent="0.35">
      <c r="A123" s="2">
        <f t="shared" si="4"/>
        <v>111</v>
      </c>
      <c r="B123" s="14">
        <v>111</v>
      </c>
      <c r="C123" s="12" t="s">
        <v>138</v>
      </c>
      <c r="D123" s="15">
        <v>1270</v>
      </c>
      <c r="E123" s="15">
        <v>8</v>
      </c>
      <c r="F123" s="15">
        <v>8</v>
      </c>
      <c r="G123" s="15">
        <f t="shared" si="5"/>
        <v>158.75</v>
      </c>
    </row>
    <row r="124" spans="1:7" ht="20.149999999999999" customHeight="1" x14ac:dyDescent="0.35">
      <c r="A124" s="2">
        <f t="shared" si="4"/>
        <v>112</v>
      </c>
      <c r="B124" s="14">
        <v>112</v>
      </c>
      <c r="C124" s="12" t="s">
        <v>88</v>
      </c>
      <c r="D124" s="15">
        <v>1260</v>
      </c>
      <c r="E124" s="15">
        <v>9</v>
      </c>
      <c r="F124" s="15">
        <v>9</v>
      </c>
      <c r="G124" s="15">
        <f t="shared" si="5"/>
        <v>140</v>
      </c>
    </row>
    <row r="125" spans="1:7" ht="20.149999999999999" customHeight="1" x14ac:dyDescent="0.35">
      <c r="A125" s="2">
        <f t="shared" si="4"/>
        <v>113</v>
      </c>
      <c r="B125" s="14">
        <v>113</v>
      </c>
      <c r="C125" s="12" t="s">
        <v>89</v>
      </c>
      <c r="D125" s="15">
        <v>1260</v>
      </c>
      <c r="E125" s="15">
        <v>7</v>
      </c>
      <c r="F125" s="15">
        <v>7</v>
      </c>
      <c r="G125" s="15">
        <f t="shared" si="5"/>
        <v>180</v>
      </c>
    </row>
    <row r="126" spans="1:7" ht="20.149999999999999" customHeight="1" x14ac:dyDescent="0.35">
      <c r="A126" s="2">
        <f t="shared" si="4"/>
        <v>114</v>
      </c>
      <c r="B126" s="14">
        <v>114</v>
      </c>
      <c r="C126" s="12" t="s">
        <v>125</v>
      </c>
      <c r="D126" s="15">
        <v>1250</v>
      </c>
      <c r="E126" s="15">
        <v>10</v>
      </c>
      <c r="F126" s="15">
        <v>10</v>
      </c>
      <c r="G126" s="15">
        <f t="shared" si="5"/>
        <v>125</v>
      </c>
    </row>
    <row r="127" spans="1:7" ht="20.149999999999999" customHeight="1" x14ac:dyDescent="0.35">
      <c r="A127" s="2">
        <f t="shared" si="4"/>
        <v>115</v>
      </c>
      <c r="B127" s="14">
        <v>115</v>
      </c>
      <c r="C127" s="12" t="s">
        <v>150</v>
      </c>
      <c r="D127" s="15">
        <v>1240</v>
      </c>
      <c r="E127" s="15">
        <v>8</v>
      </c>
      <c r="F127" s="15">
        <v>8</v>
      </c>
      <c r="G127" s="15">
        <f t="shared" si="5"/>
        <v>155</v>
      </c>
    </row>
    <row r="128" spans="1:7" ht="20.149999999999999" customHeight="1" x14ac:dyDescent="0.35">
      <c r="A128" s="2">
        <f t="shared" si="4"/>
        <v>116</v>
      </c>
      <c r="B128" s="14">
        <v>116</v>
      </c>
      <c r="C128" s="12" t="s">
        <v>90</v>
      </c>
      <c r="D128" s="15">
        <v>1240</v>
      </c>
      <c r="E128" s="15">
        <v>6</v>
      </c>
      <c r="F128" s="15">
        <v>6</v>
      </c>
      <c r="G128" s="15">
        <f t="shared" si="5"/>
        <v>206.66666666666666</v>
      </c>
    </row>
    <row r="129" spans="1:7" ht="20.149999999999999" customHeight="1" x14ac:dyDescent="0.35">
      <c r="A129" s="2">
        <f t="shared" si="4"/>
        <v>117</v>
      </c>
      <c r="B129" s="14">
        <v>117</v>
      </c>
      <c r="C129" s="12" t="s">
        <v>91</v>
      </c>
      <c r="D129" s="15">
        <v>1240</v>
      </c>
      <c r="E129" s="15">
        <v>6</v>
      </c>
      <c r="F129" s="15">
        <v>6</v>
      </c>
      <c r="G129" s="15">
        <f t="shared" si="5"/>
        <v>206.66666666666666</v>
      </c>
    </row>
    <row r="130" spans="1:7" ht="20.149999999999999" customHeight="1" x14ac:dyDescent="0.35">
      <c r="A130" s="2">
        <f t="shared" si="4"/>
        <v>118</v>
      </c>
      <c r="B130" s="14">
        <v>118</v>
      </c>
      <c r="C130" s="12" t="s">
        <v>207</v>
      </c>
      <c r="D130" s="15">
        <v>1230</v>
      </c>
      <c r="E130" s="15">
        <v>11</v>
      </c>
      <c r="F130" s="15">
        <v>11</v>
      </c>
      <c r="G130" s="15">
        <f t="shared" si="5"/>
        <v>111.81818181818181</v>
      </c>
    </row>
    <row r="131" spans="1:7" ht="20.149999999999999" customHeight="1" x14ac:dyDescent="0.35">
      <c r="A131" s="2">
        <f t="shared" si="4"/>
        <v>119</v>
      </c>
      <c r="B131" s="14">
        <v>119</v>
      </c>
      <c r="C131" s="12" t="s">
        <v>92</v>
      </c>
      <c r="D131" s="15">
        <v>1230</v>
      </c>
      <c r="E131" s="15">
        <v>10</v>
      </c>
      <c r="F131" s="15">
        <v>10</v>
      </c>
      <c r="G131" s="15">
        <f t="shared" si="5"/>
        <v>123</v>
      </c>
    </row>
    <row r="132" spans="1:7" ht="20.149999999999999" customHeight="1" x14ac:dyDescent="0.35">
      <c r="A132" s="2">
        <f t="shared" si="4"/>
        <v>120</v>
      </c>
      <c r="B132" s="14">
        <v>120</v>
      </c>
      <c r="C132" s="12" t="s">
        <v>93</v>
      </c>
      <c r="D132" s="15">
        <v>1220</v>
      </c>
      <c r="E132" s="15">
        <v>9</v>
      </c>
      <c r="F132" s="15">
        <v>9</v>
      </c>
      <c r="G132" s="15">
        <f t="shared" si="5"/>
        <v>135.55555555555554</v>
      </c>
    </row>
    <row r="133" spans="1:7" ht="20.149999999999999" customHeight="1" x14ac:dyDescent="0.35">
      <c r="A133" s="2">
        <f t="shared" si="4"/>
        <v>121</v>
      </c>
      <c r="B133" s="14">
        <v>121</v>
      </c>
      <c r="C133" s="12" t="s">
        <v>126</v>
      </c>
      <c r="D133" s="15">
        <v>1220</v>
      </c>
      <c r="E133" s="15">
        <v>9</v>
      </c>
      <c r="F133" s="15">
        <v>9</v>
      </c>
      <c r="G133" s="15">
        <f t="shared" si="5"/>
        <v>135.55555555555554</v>
      </c>
    </row>
    <row r="134" spans="1:7" ht="20.149999999999999" customHeight="1" x14ac:dyDescent="0.35">
      <c r="A134" s="2">
        <f t="shared" si="4"/>
        <v>122</v>
      </c>
      <c r="B134" s="14">
        <v>122</v>
      </c>
      <c r="C134" s="12" t="s">
        <v>127</v>
      </c>
      <c r="D134" s="15">
        <v>1210</v>
      </c>
      <c r="E134" s="15">
        <v>8</v>
      </c>
      <c r="F134" s="15">
        <v>8</v>
      </c>
      <c r="G134" s="15">
        <f t="shared" si="5"/>
        <v>151.25</v>
      </c>
    </row>
    <row r="135" spans="1:7" ht="20.149999999999999" customHeight="1" x14ac:dyDescent="0.35">
      <c r="A135" s="2">
        <f t="shared" si="4"/>
        <v>123</v>
      </c>
      <c r="B135" s="14">
        <v>123</v>
      </c>
      <c r="C135" s="12" t="s">
        <v>144</v>
      </c>
      <c r="D135" s="15">
        <v>1210</v>
      </c>
      <c r="E135" s="15">
        <v>7</v>
      </c>
      <c r="F135" s="15">
        <v>7</v>
      </c>
      <c r="G135" s="15">
        <f t="shared" si="5"/>
        <v>172.85714285714286</v>
      </c>
    </row>
    <row r="136" spans="1:7" ht="20.149999999999999" customHeight="1" x14ac:dyDescent="0.35">
      <c r="A136" s="2">
        <f t="shared" si="4"/>
        <v>124</v>
      </c>
      <c r="B136" s="14">
        <v>124</v>
      </c>
      <c r="C136" s="12" t="s">
        <v>94</v>
      </c>
      <c r="D136" s="15">
        <v>1210</v>
      </c>
      <c r="E136" s="15">
        <v>7</v>
      </c>
      <c r="F136" s="15">
        <v>7</v>
      </c>
      <c r="G136" s="15">
        <f t="shared" si="5"/>
        <v>172.85714285714286</v>
      </c>
    </row>
    <row r="137" spans="1:7" ht="20.149999999999999" customHeight="1" x14ac:dyDescent="0.35">
      <c r="A137" s="2">
        <f t="shared" si="4"/>
        <v>125</v>
      </c>
      <c r="B137" s="14">
        <v>125</v>
      </c>
      <c r="C137" s="12" t="s">
        <v>95</v>
      </c>
      <c r="D137" s="15">
        <v>1200</v>
      </c>
      <c r="E137" s="15">
        <v>9</v>
      </c>
      <c r="F137" s="15">
        <v>9</v>
      </c>
      <c r="G137" s="15">
        <f t="shared" si="5"/>
        <v>133.33333333333334</v>
      </c>
    </row>
    <row r="138" spans="1:7" ht="20.149999999999999" customHeight="1" x14ac:dyDescent="0.35">
      <c r="A138" s="2">
        <f t="shared" si="4"/>
        <v>126</v>
      </c>
      <c r="B138" s="14">
        <v>126</v>
      </c>
      <c r="C138" s="12" t="s">
        <v>96</v>
      </c>
      <c r="D138" s="15">
        <v>1200</v>
      </c>
      <c r="E138" s="15">
        <v>6</v>
      </c>
      <c r="F138" s="15">
        <v>6</v>
      </c>
      <c r="G138" s="15">
        <f t="shared" si="5"/>
        <v>200</v>
      </c>
    </row>
    <row r="139" spans="1:7" ht="20.149999999999999" customHeight="1" x14ac:dyDescent="0.35">
      <c r="A139" s="2">
        <f t="shared" si="4"/>
        <v>127</v>
      </c>
      <c r="B139" s="14">
        <v>127</v>
      </c>
      <c r="C139" s="12" t="s">
        <v>97</v>
      </c>
      <c r="D139" s="15">
        <v>1200</v>
      </c>
      <c r="E139" s="15">
        <v>6</v>
      </c>
      <c r="F139" s="15">
        <v>6</v>
      </c>
      <c r="G139" s="15">
        <f t="shared" si="5"/>
        <v>200</v>
      </c>
    </row>
    <row r="140" spans="1:7" ht="20.149999999999999" customHeight="1" x14ac:dyDescent="0.35">
      <c r="A140" s="2">
        <f t="shared" si="4"/>
        <v>128</v>
      </c>
      <c r="B140" s="14">
        <v>128</v>
      </c>
      <c r="C140" s="12" t="s">
        <v>98</v>
      </c>
      <c r="D140" s="15">
        <v>1160</v>
      </c>
      <c r="E140" s="15">
        <v>8</v>
      </c>
      <c r="F140" s="15">
        <v>8</v>
      </c>
      <c r="G140" s="15">
        <f t="shared" si="5"/>
        <v>145</v>
      </c>
    </row>
    <row r="141" spans="1:7" ht="20.149999999999999" customHeight="1" x14ac:dyDescent="0.35">
      <c r="A141" s="2">
        <f t="shared" si="4"/>
        <v>129</v>
      </c>
      <c r="B141" s="14">
        <v>129</v>
      </c>
      <c r="C141" s="12" t="s">
        <v>99</v>
      </c>
      <c r="D141" s="15">
        <v>1100</v>
      </c>
      <c r="E141" s="15">
        <v>8</v>
      </c>
      <c r="F141" s="15">
        <v>8</v>
      </c>
      <c r="G141" s="15">
        <f t="shared" ref="G141:G156" si="6">IFERROR(D141/F141,0)</f>
        <v>137.5</v>
      </c>
    </row>
    <row r="142" spans="1:7" ht="20.149999999999999" customHeight="1" x14ac:dyDescent="0.35">
      <c r="A142" s="2">
        <f t="shared" ref="A142:A156" si="7">ROW(A130)</f>
        <v>130</v>
      </c>
      <c r="B142" s="14">
        <v>130</v>
      </c>
      <c r="C142" s="12" t="s">
        <v>128</v>
      </c>
      <c r="D142" s="15">
        <v>910</v>
      </c>
      <c r="E142" s="15">
        <v>6</v>
      </c>
      <c r="F142" s="15">
        <v>6</v>
      </c>
      <c r="G142" s="15">
        <f t="shared" si="6"/>
        <v>151.66666666666666</v>
      </c>
    </row>
    <row r="143" spans="1:7" ht="20.149999999999999" customHeight="1" x14ac:dyDescent="0.35">
      <c r="A143" s="2">
        <f t="shared" si="7"/>
        <v>131</v>
      </c>
      <c r="B143" s="14">
        <v>131</v>
      </c>
      <c r="C143" s="12" t="s">
        <v>100</v>
      </c>
      <c r="D143" s="15">
        <v>860</v>
      </c>
      <c r="E143" s="15">
        <v>6</v>
      </c>
      <c r="F143" s="15">
        <v>6</v>
      </c>
      <c r="G143" s="15">
        <f t="shared" si="6"/>
        <v>143.33333333333334</v>
      </c>
    </row>
    <row r="144" spans="1:7" ht="20.149999999999999" customHeight="1" x14ac:dyDescent="0.35">
      <c r="A144" s="2">
        <f t="shared" si="7"/>
        <v>132</v>
      </c>
      <c r="B144" s="14">
        <v>132</v>
      </c>
      <c r="C144" s="12" t="s">
        <v>101</v>
      </c>
      <c r="D144" s="15">
        <v>770</v>
      </c>
      <c r="E144" s="15">
        <v>5</v>
      </c>
      <c r="F144" s="15">
        <v>5</v>
      </c>
      <c r="G144" s="15">
        <f t="shared" si="6"/>
        <v>154</v>
      </c>
    </row>
    <row r="145" spans="1:7" ht="20.149999999999999" customHeight="1" x14ac:dyDescent="0.35">
      <c r="A145" s="2">
        <f t="shared" si="7"/>
        <v>133</v>
      </c>
      <c r="B145" s="14">
        <v>133</v>
      </c>
      <c r="C145" s="12" t="s">
        <v>102</v>
      </c>
      <c r="D145" s="15">
        <v>760</v>
      </c>
      <c r="E145" s="15">
        <v>5</v>
      </c>
      <c r="F145" s="15">
        <v>5</v>
      </c>
      <c r="G145" s="15">
        <f t="shared" si="6"/>
        <v>152</v>
      </c>
    </row>
    <row r="146" spans="1:7" ht="20.149999999999999" customHeight="1" x14ac:dyDescent="0.35">
      <c r="A146" s="2">
        <f t="shared" si="7"/>
        <v>134</v>
      </c>
      <c r="B146" s="14">
        <v>134</v>
      </c>
      <c r="C146" s="12" t="s">
        <v>106</v>
      </c>
      <c r="D146" s="15">
        <v>710</v>
      </c>
      <c r="E146" s="15">
        <v>7</v>
      </c>
      <c r="F146" s="15">
        <v>7</v>
      </c>
      <c r="G146" s="15">
        <f t="shared" si="6"/>
        <v>101.42857142857143</v>
      </c>
    </row>
    <row r="147" spans="1:7" ht="20.149999999999999" customHeight="1" x14ac:dyDescent="0.35">
      <c r="A147" s="2">
        <f t="shared" si="7"/>
        <v>135</v>
      </c>
      <c r="B147" s="14">
        <v>135</v>
      </c>
      <c r="C147" s="12" t="s">
        <v>103</v>
      </c>
      <c r="D147" s="15">
        <v>470</v>
      </c>
      <c r="E147" s="15">
        <v>4</v>
      </c>
      <c r="F147" s="15">
        <v>4</v>
      </c>
      <c r="G147" s="15">
        <f t="shared" si="6"/>
        <v>117.5</v>
      </c>
    </row>
    <row r="148" spans="1:7" ht="20.149999999999999" customHeight="1" x14ac:dyDescent="0.35">
      <c r="A148" s="2">
        <f t="shared" si="7"/>
        <v>136</v>
      </c>
      <c r="B148" s="14">
        <v>136</v>
      </c>
      <c r="C148" s="12" t="s">
        <v>104</v>
      </c>
      <c r="D148" s="15">
        <v>360</v>
      </c>
      <c r="E148" s="15">
        <v>2</v>
      </c>
      <c r="F148" s="15">
        <v>2</v>
      </c>
      <c r="G148" s="15">
        <f t="shared" si="6"/>
        <v>180</v>
      </c>
    </row>
    <row r="149" spans="1:7" ht="20.149999999999999" customHeight="1" x14ac:dyDescent="0.35">
      <c r="A149" s="2">
        <f t="shared" si="7"/>
        <v>137</v>
      </c>
      <c r="B149" s="14">
        <v>137</v>
      </c>
      <c r="C149" s="12" t="s">
        <v>129</v>
      </c>
      <c r="D149" s="15">
        <v>360</v>
      </c>
      <c r="E149" s="15">
        <v>2</v>
      </c>
      <c r="F149" s="15">
        <v>2</v>
      </c>
      <c r="G149" s="15">
        <f t="shared" si="6"/>
        <v>180</v>
      </c>
    </row>
    <row r="150" spans="1:7" ht="20.149999999999999" customHeight="1" x14ac:dyDescent="0.35">
      <c r="A150" s="2">
        <f t="shared" si="7"/>
        <v>138</v>
      </c>
      <c r="B150" s="14">
        <v>138</v>
      </c>
      <c r="C150" s="12" t="s">
        <v>105</v>
      </c>
      <c r="D150" s="15">
        <v>300</v>
      </c>
      <c r="E150" s="15">
        <v>4</v>
      </c>
      <c r="F150" s="15">
        <v>4</v>
      </c>
      <c r="G150" s="15">
        <f t="shared" si="6"/>
        <v>75</v>
      </c>
    </row>
    <row r="151" spans="1:7" ht="20.149999999999999" customHeight="1" x14ac:dyDescent="0.35">
      <c r="A151" s="2">
        <f t="shared" si="7"/>
        <v>139</v>
      </c>
      <c r="B151" s="14">
        <v>139</v>
      </c>
      <c r="C151" s="12" t="s">
        <v>70</v>
      </c>
      <c r="D151" s="15">
        <v>220</v>
      </c>
      <c r="E151" s="15">
        <v>1</v>
      </c>
      <c r="F151" s="15">
        <v>1</v>
      </c>
      <c r="G151" s="15">
        <f t="shared" si="6"/>
        <v>220</v>
      </c>
    </row>
    <row r="152" spans="1:7" ht="20.149999999999999" customHeight="1" x14ac:dyDescent="0.35">
      <c r="A152" s="2">
        <f t="shared" si="7"/>
        <v>140</v>
      </c>
      <c r="B152" s="14">
        <v>140</v>
      </c>
      <c r="C152" s="12" t="s">
        <v>66</v>
      </c>
      <c r="D152" s="15">
        <v>0</v>
      </c>
      <c r="E152" s="15">
        <v>0</v>
      </c>
      <c r="F152" s="15">
        <v>1</v>
      </c>
      <c r="G152" s="15">
        <f t="shared" si="6"/>
        <v>0</v>
      </c>
    </row>
    <row r="153" spans="1:7" ht="20.149999999999999" customHeight="1" x14ac:dyDescent="0.35">
      <c r="A153" s="2">
        <f t="shared" si="7"/>
        <v>141</v>
      </c>
      <c r="B153" s="14">
        <v>141</v>
      </c>
      <c r="C153" s="12" t="s">
        <v>130</v>
      </c>
      <c r="D153" s="15">
        <v>0</v>
      </c>
      <c r="E153" s="15">
        <v>0</v>
      </c>
      <c r="F153" s="15">
        <v>0</v>
      </c>
      <c r="G153" s="15">
        <f t="shared" si="6"/>
        <v>0</v>
      </c>
    </row>
    <row r="154" spans="1:7" ht="20.149999999999999" customHeight="1" x14ac:dyDescent="0.35">
      <c r="A154" s="2">
        <f t="shared" si="7"/>
        <v>142</v>
      </c>
      <c r="B154" s="14">
        <v>142</v>
      </c>
      <c r="C154" s="12" t="s">
        <v>67</v>
      </c>
      <c r="D154" s="15">
        <v>0</v>
      </c>
      <c r="E154" s="15">
        <v>0</v>
      </c>
      <c r="F154" s="15">
        <v>0</v>
      </c>
      <c r="G154" s="15">
        <f t="shared" si="6"/>
        <v>0</v>
      </c>
    </row>
    <row r="155" spans="1:7" ht="20.149999999999999" customHeight="1" x14ac:dyDescent="0.35">
      <c r="A155" s="2">
        <f t="shared" si="7"/>
        <v>143</v>
      </c>
      <c r="B155" s="14">
        <v>143</v>
      </c>
      <c r="C155" s="12" t="s">
        <v>68</v>
      </c>
      <c r="D155" s="15">
        <v>0</v>
      </c>
      <c r="E155" s="15">
        <v>0</v>
      </c>
      <c r="F155" s="15">
        <v>0</v>
      </c>
      <c r="G155" s="15">
        <f t="shared" si="6"/>
        <v>0</v>
      </c>
    </row>
    <row r="156" spans="1:7" ht="20.149999999999999" customHeight="1" x14ac:dyDescent="0.35">
      <c r="A156" s="2">
        <f t="shared" si="7"/>
        <v>144</v>
      </c>
      <c r="B156" s="14">
        <v>144</v>
      </c>
      <c r="C156" s="12" t="s">
        <v>69</v>
      </c>
      <c r="D156" s="15">
        <v>0</v>
      </c>
      <c r="E156" s="15">
        <v>0</v>
      </c>
      <c r="F156" s="15">
        <v>0</v>
      </c>
      <c r="G156" s="15">
        <f t="shared" si="6"/>
        <v>0</v>
      </c>
    </row>
    <row r="157" spans="1:7" ht="20.149999999999999" customHeight="1" x14ac:dyDescent="0.35">
      <c r="B157" s="12" t="s">
        <v>131</v>
      </c>
      <c r="C157" s="12"/>
      <c r="D157" s="15">
        <f>SUBTOTAL(109,AllianceMobilization202511[Points
reached])</f>
        <v>279760</v>
      </c>
      <c r="E157" s="15">
        <f>SUBTOTAL(109,AllianceMobilization202511[Quests
started])</f>
        <v>1631</v>
      </c>
      <c r="F157" s="15">
        <f>SUBTOTAL(109,AllianceMobilization202511[Quests
completed])</f>
        <v>1632</v>
      </c>
      <c r="G157" s="17"/>
    </row>
    <row r="158" spans="1:7" ht="20.149999999999999" customHeight="1" x14ac:dyDescent="0.35">
      <c r="B158" s="7" t="s">
        <v>132</v>
      </c>
      <c r="C158" s="7"/>
      <c r="D158" s="8">
        <f>AVERAGE(D13:D156)</f>
        <v>1942.7777777777778</v>
      </c>
      <c r="E158" s="8">
        <f>AVERAGE(E13:E156)</f>
        <v>11.326388888888889</v>
      </c>
      <c r="F158" s="8">
        <f>AVERAGE(F13:F156)</f>
        <v>11.333333333333334</v>
      </c>
      <c r="G158" s="8">
        <f>AVERAGE(G13:G156)</f>
        <v>163.01399233458699</v>
      </c>
    </row>
  </sheetData>
  <mergeCells count="7">
    <mergeCell ref="B10:C10"/>
    <mergeCell ref="B9:C9"/>
    <mergeCell ref="B3:C3"/>
    <mergeCell ref="B4:C4"/>
    <mergeCell ref="B5:C5"/>
    <mergeCell ref="B6:C6"/>
    <mergeCell ref="B7:C7"/>
  </mergeCells>
  <conditionalFormatting sqref="D13:D156">
    <cfRule type="cellIs" dxfId="23" priority="1" operator="lessThan">
      <formula>$D$10</formula>
    </cfRule>
    <cfRule type="cellIs" dxfId="22" priority="2" operator="greaterThan">
      <formula>$D$10</formula>
    </cfRule>
    <cfRule type="cellIs" dxfId="21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0B22-58C4-42D0-9AEF-339F95C1638A}">
  <dimension ref="A1:G125"/>
  <sheetViews>
    <sheetView zoomScaleNormal="100"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7" ht="24" customHeight="1" x14ac:dyDescent="0.35">
      <c r="B1" s="9" t="s">
        <v>239</v>
      </c>
      <c r="C1" s="10"/>
      <c r="D1" s="10"/>
    </row>
    <row r="2" spans="1:7" ht="20.149999999999999" customHeight="1" x14ac:dyDescent="0.35">
      <c r="B2" s="10"/>
      <c r="C2" s="10"/>
      <c r="D2" s="10"/>
    </row>
    <row r="3" spans="1:7" ht="20.149999999999999" customHeight="1" x14ac:dyDescent="0.35">
      <c r="B3" s="20" t="s">
        <v>236</v>
      </c>
      <c r="C3" s="20"/>
      <c r="D3" s="19">
        <v>3662</v>
      </c>
    </row>
    <row r="4" spans="1:7" ht="20.149999999999999" customHeight="1" x14ac:dyDescent="0.35">
      <c r="B4" s="20" t="s">
        <v>0</v>
      </c>
      <c r="C4" s="20"/>
      <c r="D4" s="10" t="s">
        <v>134</v>
      </c>
    </row>
    <row r="5" spans="1:7" ht="20.149999999999999" customHeight="1" x14ac:dyDescent="0.35">
      <c r="B5" s="20" t="s">
        <v>1</v>
      </c>
      <c r="C5" s="20"/>
      <c r="D5" s="10" t="s">
        <v>135</v>
      </c>
    </row>
    <row r="6" spans="1:7" ht="20.149999999999999" customHeight="1" x14ac:dyDescent="0.35">
      <c r="B6" s="20" t="s">
        <v>8</v>
      </c>
      <c r="C6" s="20"/>
      <c r="D6" s="11">
        <v>268670</v>
      </c>
    </row>
    <row r="7" spans="1:7" ht="20.149999999999999" customHeight="1" x14ac:dyDescent="0.35">
      <c r="B7" s="20" t="s">
        <v>6</v>
      </c>
      <c r="C7" s="20"/>
      <c r="D7" s="11" t="s">
        <v>136</v>
      </c>
    </row>
    <row r="8" spans="1:7" ht="20.149999999999999" customHeight="1" x14ac:dyDescent="0.35">
      <c r="B8" s="3"/>
      <c r="C8" s="3" t="s">
        <v>210</v>
      </c>
      <c r="D8" s="11">
        <v>18</v>
      </c>
    </row>
    <row r="9" spans="1:7" ht="20.149999999999999" customHeight="1" x14ac:dyDescent="0.35">
      <c r="B9" s="20" t="s">
        <v>4</v>
      </c>
      <c r="C9" s="20"/>
      <c r="D9" s="10" t="s">
        <v>5</v>
      </c>
    </row>
    <row r="10" spans="1:7" ht="20.149999999999999" customHeight="1" x14ac:dyDescent="0.35">
      <c r="B10" s="20" t="s">
        <v>151</v>
      </c>
      <c r="C10" s="20"/>
      <c r="D10" s="11">
        <v>1500</v>
      </c>
    </row>
    <row r="11" spans="1:7" ht="20.149999999999999" customHeight="1" x14ac:dyDescent="0.35"/>
    <row r="12" spans="1:7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7" ht="20.149999999999999" customHeight="1" x14ac:dyDescent="0.35">
      <c r="A13" s="2">
        <f>ROW(A1)</f>
        <v>1</v>
      </c>
      <c r="B13" s="14">
        <v>1</v>
      </c>
      <c r="C13" s="12" t="s">
        <v>20</v>
      </c>
      <c r="D13" s="15">
        <v>9400</v>
      </c>
      <c r="E13" s="15">
        <v>45</v>
      </c>
      <c r="F13" s="15">
        <v>45</v>
      </c>
      <c r="G13" s="15">
        <f t="shared" ref="G13:G44" si="0">IFERROR(D13/F13,0)</f>
        <v>208.88888888888889</v>
      </c>
    </row>
    <row r="14" spans="1:7" ht="20.149999999999999" customHeight="1" x14ac:dyDescent="0.35">
      <c r="A14" s="2">
        <f t="shared" ref="A14:A77" si="1">ROW(A2)</f>
        <v>2</v>
      </c>
      <c r="B14" s="14">
        <v>2</v>
      </c>
      <c r="C14" s="12" t="s">
        <v>91</v>
      </c>
      <c r="D14" s="15">
        <v>8280</v>
      </c>
      <c r="E14" s="15">
        <v>38</v>
      </c>
      <c r="F14" s="15">
        <v>38</v>
      </c>
      <c r="G14" s="15">
        <f t="shared" si="0"/>
        <v>217.89473684210526</v>
      </c>
    </row>
    <row r="15" spans="1:7" ht="20.149999999999999" customHeight="1" x14ac:dyDescent="0.35">
      <c r="A15" s="2">
        <f t="shared" si="1"/>
        <v>3</v>
      </c>
      <c r="B15" s="14">
        <v>3</v>
      </c>
      <c r="C15" s="12" t="s">
        <v>36</v>
      </c>
      <c r="D15" s="15">
        <v>6600</v>
      </c>
      <c r="E15" s="15">
        <v>33</v>
      </c>
      <c r="F15" s="15">
        <v>33</v>
      </c>
      <c r="G15" s="15">
        <f t="shared" si="0"/>
        <v>200</v>
      </c>
    </row>
    <row r="16" spans="1:7" ht="20.149999999999999" customHeight="1" x14ac:dyDescent="0.35">
      <c r="A16" s="2">
        <f t="shared" si="1"/>
        <v>4</v>
      </c>
      <c r="B16" s="14">
        <v>4</v>
      </c>
      <c r="C16" s="12" t="s">
        <v>23</v>
      </c>
      <c r="D16" s="15">
        <v>6050</v>
      </c>
      <c r="E16" s="15">
        <v>31</v>
      </c>
      <c r="F16" s="15">
        <v>31</v>
      </c>
      <c r="G16" s="15">
        <f t="shared" si="0"/>
        <v>195.16129032258064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38</v>
      </c>
      <c r="D17" s="15">
        <v>5120</v>
      </c>
      <c r="E17" s="15">
        <v>26</v>
      </c>
      <c r="F17" s="15">
        <v>26</v>
      </c>
      <c r="G17" s="15">
        <f t="shared" si="0"/>
        <v>196.92307692307693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164</v>
      </c>
      <c r="D18" s="15">
        <v>4700</v>
      </c>
      <c r="E18" s="15">
        <v>24</v>
      </c>
      <c r="F18" s="15">
        <v>24</v>
      </c>
      <c r="G18" s="15">
        <f t="shared" si="0"/>
        <v>195.83333333333334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149</v>
      </c>
      <c r="D19" s="15">
        <v>4700</v>
      </c>
      <c r="E19" s="15">
        <v>23</v>
      </c>
      <c r="F19" s="15">
        <v>23</v>
      </c>
      <c r="G19" s="15">
        <f t="shared" si="0"/>
        <v>204.34782608695653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79</v>
      </c>
      <c r="D20" s="15">
        <v>4180</v>
      </c>
      <c r="E20" s="15">
        <v>23</v>
      </c>
      <c r="F20" s="15">
        <v>23</v>
      </c>
      <c r="G20" s="15">
        <f t="shared" si="0"/>
        <v>181.7391304347826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115</v>
      </c>
      <c r="D21" s="15">
        <v>4030</v>
      </c>
      <c r="E21" s="15">
        <v>21</v>
      </c>
      <c r="F21" s="15">
        <v>21</v>
      </c>
      <c r="G21" s="15">
        <f t="shared" si="0"/>
        <v>191.9047619047619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176</v>
      </c>
      <c r="D22" s="15">
        <v>3990</v>
      </c>
      <c r="E22" s="15">
        <v>22</v>
      </c>
      <c r="F22" s="15">
        <v>22</v>
      </c>
      <c r="G22" s="15">
        <f t="shared" si="0"/>
        <v>181.36363636363637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13</v>
      </c>
      <c r="D23" s="15">
        <v>3780</v>
      </c>
      <c r="E23" s="15">
        <v>17</v>
      </c>
      <c r="F23" s="15">
        <v>17</v>
      </c>
      <c r="G23" s="15">
        <f t="shared" si="0"/>
        <v>222.35294117647058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169</v>
      </c>
      <c r="D24" s="15">
        <v>3400</v>
      </c>
      <c r="E24" s="15">
        <v>18</v>
      </c>
      <c r="F24" s="15">
        <v>18</v>
      </c>
      <c r="G24" s="15">
        <f t="shared" si="0"/>
        <v>188.88888888888889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15</v>
      </c>
      <c r="D25" s="15">
        <v>3290</v>
      </c>
      <c r="E25" s="15">
        <v>19</v>
      </c>
      <c r="F25" s="15">
        <v>19</v>
      </c>
      <c r="G25" s="15">
        <f t="shared" si="0"/>
        <v>173.15789473684211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47</v>
      </c>
      <c r="D26" s="15">
        <v>3270</v>
      </c>
      <c r="E26" s="15">
        <v>20</v>
      </c>
      <c r="F26" s="15">
        <v>20</v>
      </c>
      <c r="G26" s="15">
        <f t="shared" si="0"/>
        <v>163.5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205</v>
      </c>
      <c r="D27" s="15">
        <v>3200</v>
      </c>
      <c r="E27" s="15">
        <v>18</v>
      </c>
      <c r="F27" s="15">
        <v>18</v>
      </c>
      <c r="G27" s="15">
        <f t="shared" si="0"/>
        <v>177.77777777777777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122</v>
      </c>
      <c r="D28" s="15">
        <v>3170</v>
      </c>
      <c r="E28" s="15">
        <v>19</v>
      </c>
      <c r="F28" s="15">
        <v>19</v>
      </c>
      <c r="G28" s="15">
        <f t="shared" si="0"/>
        <v>166.84210526315789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14</v>
      </c>
      <c r="D29" s="15">
        <v>3160</v>
      </c>
      <c r="E29" s="15">
        <v>17</v>
      </c>
      <c r="F29" s="15">
        <v>17</v>
      </c>
      <c r="G29" s="15">
        <f t="shared" si="0"/>
        <v>185.88235294117646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77</v>
      </c>
      <c r="D30" s="15">
        <v>3120</v>
      </c>
      <c r="E30" s="15">
        <v>20</v>
      </c>
      <c r="F30" s="15">
        <v>20</v>
      </c>
      <c r="G30" s="15">
        <f t="shared" si="0"/>
        <v>156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51</v>
      </c>
      <c r="D31" s="15">
        <v>3110</v>
      </c>
      <c r="E31" s="15">
        <v>16</v>
      </c>
      <c r="F31" s="15">
        <v>16</v>
      </c>
      <c r="G31" s="15">
        <f t="shared" si="0"/>
        <v>194.375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54</v>
      </c>
      <c r="D32" s="15">
        <v>3030</v>
      </c>
      <c r="E32" s="15">
        <v>21</v>
      </c>
      <c r="F32" s="15">
        <v>21</v>
      </c>
      <c r="G32" s="15">
        <f t="shared" si="0"/>
        <v>144.28571428571428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55</v>
      </c>
      <c r="D33" s="15">
        <v>2990</v>
      </c>
      <c r="E33" s="15">
        <v>16</v>
      </c>
      <c r="F33" s="15">
        <v>16</v>
      </c>
      <c r="G33" s="15">
        <f t="shared" si="0"/>
        <v>186.875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174</v>
      </c>
      <c r="D34" s="15">
        <v>2980</v>
      </c>
      <c r="E34" s="15">
        <v>15</v>
      </c>
      <c r="F34" s="15">
        <v>15</v>
      </c>
      <c r="G34" s="15">
        <f t="shared" si="0"/>
        <v>198.66666666666666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64</v>
      </c>
      <c r="D35" s="15">
        <v>2820</v>
      </c>
      <c r="E35" s="15">
        <v>20</v>
      </c>
      <c r="F35" s="15">
        <v>20</v>
      </c>
      <c r="G35" s="15">
        <f t="shared" si="0"/>
        <v>141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57</v>
      </c>
      <c r="D36" s="15">
        <v>2760</v>
      </c>
      <c r="E36" s="15">
        <v>15</v>
      </c>
      <c r="F36" s="15">
        <v>15</v>
      </c>
      <c r="G36" s="15">
        <f t="shared" si="0"/>
        <v>184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63</v>
      </c>
      <c r="D37" s="15">
        <v>2760</v>
      </c>
      <c r="E37" s="15">
        <v>15</v>
      </c>
      <c r="F37" s="15">
        <v>15</v>
      </c>
      <c r="G37" s="15">
        <f t="shared" si="0"/>
        <v>184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116</v>
      </c>
      <c r="D38" s="15">
        <v>2680</v>
      </c>
      <c r="E38" s="15">
        <v>15</v>
      </c>
      <c r="F38" s="15">
        <v>15</v>
      </c>
      <c r="G38" s="15">
        <f t="shared" si="0"/>
        <v>178.66666666666666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21</v>
      </c>
      <c r="D39" s="15">
        <v>2670</v>
      </c>
      <c r="E39" s="15">
        <v>15</v>
      </c>
      <c r="F39" s="15">
        <v>15</v>
      </c>
      <c r="G39" s="15">
        <f t="shared" si="0"/>
        <v>178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31</v>
      </c>
      <c r="D40" s="15">
        <v>2650</v>
      </c>
      <c r="E40" s="15">
        <v>16</v>
      </c>
      <c r="F40" s="15">
        <v>16</v>
      </c>
      <c r="G40" s="15">
        <f t="shared" si="0"/>
        <v>165.625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117</v>
      </c>
      <c r="D41" s="15">
        <v>2640</v>
      </c>
      <c r="E41" s="15">
        <v>16</v>
      </c>
      <c r="F41" s="15">
        <v>16</v>
      </c>
      <c r="G41" s="15">
        <f t="shared" si="0"/>
        <v>165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34</v>
      </c>
      <c r="D42" s="15">
        <v>2600</v>
      </c>
      <c r="E42" s="15">
        <v>16</v>
      </c>
      <c r="F42" s="15">
        <v>16</v>
      </c>
      <c r="G42" s="15">
        <f t="shared" si="0"/>
        <v>162.5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195</v>
      </c>
      <c r="D43" s="15">
        <v>2600</v>
      </c>
      <c r="E43" s="15">
        <v>14</v>
      </c>
      <c r="F43" s="15">
        <v>14</v>
      </c>
      <c r="G43" s="15">
        <f t="shared" si="0"/>
        <v>185.71428571428572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50</v>
      </c>
      <c r="D44" s="15">
        <v>2600</v>
      </c>
      <c r="E44" s="15">
        <v>14</v>
      </c>
      <c r="F44" s="15">
        <v>14</v>
      </c>
      <c r="G44" s="15">
        <f t="shared" si="0"/>
        <v>185.71428571428572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44</v>
      </c>
      <c r="D45" s="15">
        <v>2580</v>
      </c>
      <c r="E45" s="15">
        <v>15</v>
      </c>
      <c r="F45" s="15">
        <v>15</v>
      </c>
      <c r="G45" s="15">
        <f t="shared" ref="G45:G76" si="2">IFERROR(D45/F45,0)</f>
        <v>172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18</v>
      </c>
      <c r="D46" s="15">
        <v>2560</v>
      </c>
      <c r="E46" s="15">
        <v>15</v>
      </c>
      <c r="F46" s="15">
        <v>15</v>
      </c>
      <c r="G46" s="15">
        <f t="shared" si="2"/>
        <v>170.66666666666666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190</v>
      </c>
      <c r="D47" s="15">
        <v>2560</v>
      </c>
      <c r="E47" s="15">
        <v>12</v>
      </c>
      <c r="F47" s="15">
        <v>12</v>
      </c>
      <c r="G47" s="15">
        <f t="shared" si="2"/>
        <v>213.33333333333334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178</v>
      </c>
      <c r="D48" s="15">
        <v>2540</v>
      </c>
      <c r="E48" s="15">
        <v>13</v>
      </c>
      <c r="F48" s="15">
        <v>13</v>
      </c>
      <c r="G48" s="15">
        <f t="shared" si="2"/>
        <v>195.38461538461539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204</v>
      </c>
      <c r="D49" s="15">
        <v>2530</v>
      </c>
      <c r="E49" s="15">
        <v>13</v>
      </c>
      <c r="F49" s="15">
        <v>13</v>
      </c>
      <c r="G49" s="15">
        <f t="shared" si="2"/>
        <v>194.61538461538461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52</v>
      </c>
      <c r="D50" s="15">
        <v>2520</v>
      </c>
      <c r="E50" s="15">
        <v>16</v>
      </c>
      <c r="F50" s="15">
        <v>16</v>
      </c>
      <c r="G50" s="15">
        <f t="shared" si="2"/>
        <v>157.5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113</v>
      </c>
      <c r="D51" s="15">
        <v>2500</v>
      </c>
      <c r="E51" s="15">
        <v>13</v>
      </c>
      <c r="F51" s="15">
        <v>13</v>
      </c>
      <c r="G51" s="15">
        <f t="shared" si="2"/>
        <v>192.30769230769232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114</v>
      </c>
      <c r="D52" s="15">
        <v>2480</v>
      </c>
      <c r="E52" s="15">
        <v>15</v>
      </c>
      <c r="F52" s="15">
        <v>15</v>
      </c>
      <c r="G52" s="15">
        <f t="shared" si="2"/>
        <v>165.33333333333334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229</v>
      </c>
      <c r="D53" s="15">
        <v>2460</v>
      </c>
      <c r="E53" s="15">
        <v>14</v>
      </c>
      <c r="F53" s="15">
        <v>14</v>
      </c>
      <c r="G53" s="15">
        <f t="shared" si="2"/>
        <v>175.71428571428572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80</v>
      </c>
      <c r="D54" s="15">
        <v>2460</v>
      </c>
      <c r="E54" s="15">
        <v>13</v>
      </c>
      <c r="F54" s="15">
        <v>13</v>
      </c>
      <c r="G54" s="15">
        <f t="shared" si="2"/>
        <v>189.23076923076923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170</v>
      </c>
      <c r="D55" s="15">
        <v>2440</v>
      </c>
      <c r="E55" s="15">
        <v>16</v>
      </c>
      <c r="F55" s="15">
        <v>16</v>
      </c>
      <c r="G55" s="15">
        <f t="shared" si="2"/>
        <v>152.5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58</v>
      </c>
      <c r="D56" s="15">
        <v>2420</v>
      </c>
      <c r="E56" s="15">
        <v>12</v>
      </c>
      <c r="F56" s="15">
        <v>12</v>
      </c>
      <c r="G56" s="15">
        <f t="shared" si="2"/>
        <v>201.66666666666666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109</v>
      </c>
      <c r="D57" s="15">
        <v>2420</v>
      </c>
      <c r="E57" s="15">
        <v>12</v>
      </c>
      <c r="F57" s="15">
        <v>12</v>
      </c>
      <c r="G57" s="15">
        <f t="shared" si="2"/>
        <v>201.66666666666666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42</v>
      </c>
      <c r="D58" s="15">
        <v>2350</v>
      </c>
      <c r="E58" s="15">
        <v>17</v>
      </c>
      <c r="F58" s="15">
        <v>27</v>
      </c>
      <c r="G58" s="15">
        <f t="shared" si="2"/>
        <v>87.037037037037038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137</v>
      </c>
      <c r="D59" s="15">
        <v>2350</v>
      </c>
      <c r="E59" s="15">
        <v>13</v>
      </c>
      <c r="F59" s="15">
        <v>13</v>
      </c>
      <c r="G59" s="15">
        <f t="shared" si="2"/>
        <v>180.76923076923077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26</v>
      </c>
      <c r="D60" s="15">
        <v>2290</v>
      </c>
      <c r="E60" s="15">
        <v>14</v>
      </c>
      <c r="F60" s="15">
        <v>14</v>
      </c>
      <c r="G60" s="15">
        <f t="shared" si="2"/>
        <v>163.57142857142858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186</v>
      </c>
      <c r="D61" s="15">
        <v>2290</v>
      </c>
      <c r="E61" s="15">
        <v>13</v>
      </c>
      <c r="F61" s="15">
        <v>13</v>
      </c>
      <c r="G61" s="15">
        <f t="shared" si="2"/>
        <v>176.15384615384616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40</v>
      </c>
      <c r="D62" s="15">
        <v>2280</v>
      </c>
      <c r="E62" s="15">
        <v>14</v>
      </c>
      <c r="F62" s="15">
        <v>14</v>
      </c>
      <c r="G62" s="15">
        <f t="shared" si="2"/>
        <v>162.85714285714286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187</v>
      </c>
      <c r="D63" s="15">
        <v>2280</v>
      </c>
      <c r="E63" s="15">
        <v>12</v>
      </c>
      <c r="F63" s="15">
        <v>12</v>
      </c>
      <c r="G63" s="15">
        <f t="shared" si="2"/>
        <v>190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81</v>
      </c>
      <c r="D64" s="15">
        <v>2280</v>
      </c>
      <c r="E64" s="15">
        <v>12</v>
      </c>
      <c r="F64" s="15">
        <v>12</v>
      </c>
      <c r="G64" s="15">
        <f t="shared" si="2"/>
        <v>190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19</v>
      </c>
      <c r="D65" s="15">
        <v>2270</v>
      </c>
      <c r="E65" s="15">
        <v>14</v>
      </c>
      <c r="F65" s="15">
        <v>14</v>
      </c>
      <c r="G65" s="15">
        <f t="shared" si="2"/>
        <v>162.14285714285714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138</v>
      </c>
      <c r="D66" s="15">
        <v>2250</v>
      </c>
      <c r="E66" s="15">
        <v>14</v>
      </c>
      <c r="F66" s="15">
        <v>14</v>
      </c>
      <c r="G66" s="15">
        <f t="shared" si="2"/>
        <v>160.71428571428572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95</v>
      </c>
      <c r="D67" s="15">
        <v>2250</v>
      </c>
      <c r="E67" s="15">
        <v>15</v>
      </c>
      <c r="F67" s="15">
        <v>15</v>
      </c>
      <c r="G67" s="15">
        <f t="shared" si="2"/>
        <v>150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53</v>
      </c>
      <c r="D68" s="15">
        <v>2230</v>
      </c>
      <c r="E68" s="15">
        <v>13</v>
      </c>
      <c r="F68" s="15">
        <v>13</v>
      </c>
      <c r="G68" s="15">
        <f t="shared" si="2"/>
        <v>171.53846153846155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61</v>
      </c>
      <c r="D69" s="15">
        <v>2190</v>
      </c>
      <c r="E69" s="15">
        <v>15</v>
      </c>
      <c r="F69" s="15">
        <v>15</v>
      </c>
      <c r="G69" s="15">
        <f t="shared" si="2"/>
        <v>146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182</v>
      </c>
      <c r="D70" s="15">
        <v>2160</v>
      </c>
      <c r="E70" s="15">
        <v>15</v>
      </c>
      <c r="F70" s="15">
        <v>15</v>
      </c>
      <c r="G70" s="15">
        <f t="shared" si="2"/>
        <v>144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107</v>
      </c>
      <c r="D71" s="15">
        <v>2160</v>
      </c>
      <c r="E71" s="15">
        <v>12</v>
      </c>
      <c r="F71" s="15">
        <v>12</v>
      </c>
      <c r="G71" s="15">
        <f t="shared" si="2"/>
        <v>180</v>
      </c>
    </row>
    <row r="72" spans="1:7" ht="20.149999999999999" customHeight="1" x14ac:dyDescent="0.35">
      <c r="A72" s="2">
        <f t="shared" si="1"/>
        <v>60</v>
      </c>
      <c r="B72" s="14">
        <v>60</v>
      </c>
      <c r="C72" s="13" t="s">
        <v>108</v>
      </c>
      <c r="D72" s="15">
        <v>2160</v>
      </c>
      <c r="E72" s="15">
        <v>11</v>
      </c>
      <c r="F72" s="15">
        <v>11</v>
      </c>
      <c r="G72" s="15">
        <f t="shared" si="2"/>
        <v>196.36363636363637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175</v>
      </c>
      <c r="D73" s="15">
        <v>2060</v>
      </c>
      <c r="E73" s="15">
        <v>12</v>
      </c>
      <c r="F73" s="15">
        <v>12</v>
      </c>
      <c r="G73" s="15">
        <f t="shared" si="2"/>
        <v>171.66666666666666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75</v>
      </c>
      <c r="D74" s="15">
        <v>2040</v>
      </c>
      <c r="E74" s="15">
        <v>15</v>
      </c>
      <c r="F74" s="15">
        <v>15</v>
      </c>
      <c r="G74" s="15">
        <f t="shared" si="2"/>
        <v>136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139</v>
      </c>
      <c r="D75" s="15">
        <v>2040</v>
      </c>
      <c r="E75" s="15">
        <v>14</v>
      </c>
      <c r="F75" s="15">
        <v>14</v>
      </c>
      <c r="G75" s="15">
        <f t="shared" si="2"/>
        <v>145.71428571428572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111</v>
      </c>
      <c r="D76" s="15">
        <v>2020</v>
      </c>
      <c r="E76" s="15">
        <v>11</v>
      </c>
      <c r="F76" s="15">
        <v>11</v>
      </c>
      <c r="G76" s="15">
        <f t="shared" si="2"/>
        <v>183.63636363636363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140</v>
      </c>
      <c r="D77" s="15">
        <v>2000</v>
      </c>
      <c r="E77" s="15">
        <v>15</v>
      </c>
      <c r="F77" s="15">
        <v>15</v>
      </c>
      <c r="G77" s="15">
        <f t="shared" ref="G77:G108" si="3">IFERROR(D77/F77,0)</f>
        <v>133.33333333333334</v>
      </c>
    </row>
    <row r="78" spans="1:7" ht="20.149999999999999" customHeight="1" x14ac:dyDescent="0.35">
      <c r="A78" s="2">
        <f t="shared" ref="A78:A123" si="4">ROW(A66)</f>
        <v>66</v>
      </c>
      <c r="B78" s="14">
        <v>66</v>
      </c>
      <c r="C78" s="12" t="s">
        <v>118</v>
      </c>
      <c r="D78" s="15">
        <v>1980</v>
      </c>
      <c r="E78" s="15">
        <v>11</v>
      </c>
      <c r="F78" s="15">
        <v>11</v>
      </c>
      <c r="G78" s="15">
        <f t="shared" si="3"/>
        <v>180</v>
      </c>
    </row>
    <row r="79" spans="1:7" ht="20.149999999999999" customHeight="1" x14ac:dyDescent="0.35">
      <c r="A79" s="2">
        <f t="shared" si="4"/>
        <v>67</v>
      </c>
      <c r="B79" s="14">
        <v>67</v>
      </c>
      <c r="C79" s="12" t="s">
        <v>37</v>
      </c>
      <c r="D79" s="15">
        <v>1970</v>
      </c>
      <c r="E79" s="15">
        <v>12</v>
      </c>
      <c r="F79" s="15">
        <v>12</v>
      </c>
      <c r="G79" s="15">
        <f t="shared" si="3"/>
        <v>164.16666666666666</v>
      </c>
    </row>
    <row r="80" spans="1:7" ht="20.149999999999999" customHeight="1" x14ac:dyDescent="0.35">
      <c r="A80" s="2">
        <f t="shared" si="4"/>
        <v>68</v>
      </c>
      <c r="B80" s="14">
        <v>68</v>
      </c>
      <c r="C80" s="12" t="s">
        <v>125</v>
      </c>
      <c r="D80" s="15">
        <v>1920</v>
      </c>
      <c r="E80" s="15">
        <v>14</v>
      </c>
      <c r="F80" s="15">
        <v>14</v>
      </c>
      <c r="G80" s="15">
        <f t="shared" si="3"/>
        <v>137.14285714285714</v>
      </c>
    </row>
    <row r="81" spans="1:7" ht="20.149999999999999" customHeight="1" x14ac:dyDescent="0.35">
      <c r="A81" s="2">
        <f t="shared" si="4"/>
        <v>69</v>
      </c>
      <c r="B81" s="14">
        <v>69</v>
      </c>
      <c r="C81" s="12" t="s">
        <v>141</v>
      </c>
      <c r="D81" s="15">
        <v>1920</v>
      </c>
      <c r="E81" s="15">
        <v>13</v>
      </c>
      <c r="F81" s="15">
        <v>13</v>
      </c>
      <c r="G81" s="15">
        <f t="shared" si="3"/>
        <v>147.69230769230768</v>
      </c>
    </row>
    <row r="82" spans="1:7" ht="20.149999999999999" customHeight="1" x14ac:dyDescent="0.35">
      <c r="A82" s="2">
        <f t="shared" si="4"/>
        <v>70</v>
      </c>
      <c r="B82" s="14">
        <v>70</v>
      </c>
      <c r="C82" s="12" t="s">
        <v>102</v>
      </c>
      <c r="D82" s="15">
        <v>1920</v>
      </c>
      <c r="E82" s="15">
        <v>12</v>
      </c>
      <c r="F82" s="15">
        <v>12</v>
      </c>
      <c r="G82" s="15">
        <f t="shared" si="3"/>
        <v>160</v>
      </c>
    </row>
    <row r="83" spans="1:7" ht="20.149999999999999" customHeight="1" x14ac:dyDescent="0.35">
      <c r="A83" s="2">
        <f t="shared" si="4"/>
        <v>71</v>
      </c>
      <c r="B83" s="14">
        <v>71</v>
      </c>
      <c r="C83" s="12" t="s">
        <v>17</v>
      </c>
      <c r="D83" s="15">
        <v>1920</v>
      </c>
      <c r="E83" s="15">
        <v>9</v>
      </c>
      <c r="F83" s="15">
        <v>9</v>
      </c>
      <c r="G83" s="15">
        <f t="shared" si="3"/>
        <v>213.33333333333334</v>
      </c>
    </row>
    <row r="84" spans="1:7" ht="20.149999999999999" customHeight="1" x14ac:dyDescent="0.35">
      <c r="A84" s="2">
        <f t="shared" si="4"/>
        <v>72</v>
      </c>
      <c r="B84" s="14">
        <v>72</v>
      </c>
      <c r="C84" s="12" t="s">
        <v>25</v>
      </c>
      <c r="D84" s="15">
        <v>1890</v>
      </c>
      <c r="E84" s="15">
        <v>11</v>
      </c>
      <c r="F84" s="15">
        <v>11</v>
      </c>
      <c r="G84" s="15">
        <f t="shared" si="3"/>
        <v>171.81818181818181</v>
      </c>
    </row>
    <row r="85" spans="1:7" ht="20.149999999999999" customHeight="1" x14ac:dyDescent="0.35">
      <c r="A85" s="2">
        <f t="shared" si="4"/>
        <v>73</v>
      </c>
      <c r="B85" s="14">
        <v>73</v>
      </c>
      <c r="C85" s="12" t="s">
        <v>150</v>
      </c>
      <c r="D85" s="15">
        <v>1880</v>
      </c>
      <c r="E85" s="15">
        <v>10</v>
      </c>
      <c r="F85" s="15">
        <v>10</v>
      </c>
      <c r="G85" s="15">
        <f t="shared" si="3"/>
        <v>188</v>
      </c>
    </row>
    <row r="86" spans="1:7" ht="20.149999999999999" customHeight="1" x14ac:dyDescent="0.35">
      <c r="A86" s="2">
        <f t="shared" si="4"/>
        <v>74</v>
      </c>
      <c r="B86" s="14">
        <v>74</v>
      </c>
      <c r="C86" s="12" t="s">
        <v>98</v>
      </c>
      <c r="D86" s="15">
        <v>1870</v>
      </c>
      <c r="E86" s="15">
        <v>16</v>
      </c>
      <c r="F86" s="15">
        <v>16</v>
      </c>
      <c r="G86" s="15">
        <f t="shared" si="3"/>
        <v>116.875</v>
      </c>
    </row>
    <row r="87" spans="1:7" ht="20.149999999999999" customHeight="1" x14ac:dyDescent="0.35">
      <c r="A87" s="2">
        <f t="shared" si="4"/>
        <v>75</v>
      </c>
      <c r="B87" s="14">
        <v>75</v>
      </c>
      <c r="C87" s="12" t="s">
        <v>76</v>
      </c>
      <c r="D87" s="15">
        <v>1840</v>
      </c>
      <c r="E87" s="15">
        <v>13</v>
      </c>
      <c r="F87" s="15">
        <v>13</v>
      </c>
      <c r="G87" s="15">
        <f t="shared" si="3"/>
        <v>141.53846153846155</v>
      </c>
    </row>
    <row r="88" spans="1:7" ht="20.149999999999999" customHeight="1" x14ac:dyDescent="0.35">
      <c r="A88" s="2">
        <f t="shared" si="4"/>
        <v>76</v>
      </c>
      <c r="B88" s="14">
        <v>76</v>
      </c>
      <c r="C88" s="12" t="s">
        <v>185</v>
      </c>
      <c r="D88" s="15">
        <v>1800</v>
      </c>
      <c r="E88" s="15">
        <v>11</v>
      </c>
      <c r="F88" s="15">
        <v>11</v>
      </c>
      <c r="G88" s="15">
        <f t="shared" si="3"/>
        <v>163.63636363636363</v>
      </c>
    </row>
    <row r="89" spans="1:7" ht="20.149999999999999" customHeight="1" x14ac:dyDescent="0.35">
      <c r="A89" s="2">
        <f t="shared" si="4"/>
        <v>77</v>
      </c>
      <c r="B89" s="14">
        <v>77</v>
      </c>
      <c r="C89" s="12" t="s">
        <v>112</v>
      </c>
      <c r="D89" s="15">
        <v>1780</v>
      </c>
      <c r="E89" s="15">
        <v>11</v>
      </c>
      <c r="F89" s="15">
        <v>11</v>
      </c>
      <c r="G89" s="15">
        <f t="shared" si="3"/>
        <v>161.81818181818181</v>
      </c>
    </row>
    <row r="90" spans="1:7" ht="20.149999999999999" customHeight="1" x14ac:dyDescent="0.35">
      <c r="A90" s="2">
        <f t="shared" si="4"/>
        <v>78</v>
      </c>
      <c r="B90" s="14">
        <v>78</v>
      </c>
      <c r="C90" s="12" t="s">
        <v>56</v>
      </c>
      <c r="D90" s="15">
        <v>1780</v>
      </c>
      <c r="E90" s="15">
        <v>10</v>
      </c>
      <c r="F90" s="15">
        <v>10</v>
      </c>
      <c r="G90" s="15">
        <f t="shared" si="3"/>
        <v>178</v>
      </c>
    </row>
    <row r="91" spans="1:7" ht="20.149999999999999" customHeight="1" x14ac:dyDescent="0.35">
      <c r="A91" s="2">
        <f t="shared" si="4"/>
        <v>79</v>
      </c>
      <c r="B91" s="14">
        <v>79</v>
      </c>
      <c r="C91" s="12" t="s">
        <v>180</v>
      </c>
      <c r="D91" s="15">
        <v>1740</v>
      </c>
      <c r="E91" s="15">
        <v>15</v>
      </c>
      <c r="F91" s="15">
        <v>15</v>
      </c>
      <c r="G91" s="15">
        <f t="shared" si="3"/>
        <v>116</v>
      </c>
    </row>
    <row r="92" spans="1:7" ht="20.149999999999999" customHeight="1" x14ac:dyDescent="0.35">
      <c r="A92" s="2">
        <f t="shared" si="4"/>
        <v>80</v>
      </c>
      <c r="B92" s="14">
        <v>80</v>
      </c>
      <c r="C92" s="12" t="s">
        <v>171</v>
      </c>
      <c r="D92" s="15">
        <v>1720</v>
      </c>
      <c r="E92" s="15">
        <v>8</v>
      </c>
      <c r="F92" s="15">
        <v>8</v>
      </c>
      <c r="G92" s="15">
        <f t="shared" si="3"/>
        <v>215</v>
      </c>
    </row>
    <row r="93" spans="1:7" ht="20.149999999999999" customHeight="1" x14ac:dyDescent="0.35">
      <c r="A93" s="2">
        <f t="shared" si="4"/>
        <v>81</v>
      </c>
      <c r="B93" s="14">
        <v>81</v>
      </c>
      <c r="C93" s="12" t="s">
        <v>145</v>
      </c>
      <c r="D93" s="15">
        <v>1700</v>
      </c>
      <c r="E93" s="15">
        <v>10</v>
      </c>
      <c r="F93" s="15">
        <v>10</v>
      </c>
      <c r="G93" s="15">
        <f t="shared" si="3"/>
        <v>170</v>
      </c>
    </row>
    <row r="94" spans="1:7" ht="20.149999999999999" customHeight="1" x14ac:dyDescent="0.35">
      <c r="A94" s="2">
        <f t="shared" si="4"/>
        <v>82</v>
      </c>
      <c r="B94" s="14">
        <v>82</v>
      </c>
      <c r="C94" s="12" t="s">
        <v>101</v>
      </c>
      <c r="D94" s="15">
        <v>1700</v>
      </c>
      <c r="E94" s="15">
        <v>9</v>
      </c>
      <c r="F94" s="15">
        <v>9</v>
      </c>
      <c r="G94" s="15">
        <f t="shared" si="3"/>
        <v>188.88888888888889</v>
      </c>
    </row>
    <row r="95" spans="1:7" ht="20.149999999999999" customHeight="1" x14ac:dyDescent="0.35">
      <c r="A95" s="2">
        <f t="shared" si="4"/>
        <v>83</v>
      </c>
      <c r="B95" s="14">
        <v>83</v>
      </c>
      <c r="C95" s="12" t="s">
        <v>59</v>
      </c>
      <c r="D95" s="15">
        <v>1680</v>
      </c>
      <c r="E95" s="15">
        <v>11</v>
      </c>
      <c r="F95" s="15">
        <v>11</v>
      </c>
      <c r="G95" s="15">
        <f t="shared" si="3"/>
        <v>152.72727272727272</v>
      </c>
    </row>
    <row r="96" spans="1:7" ht="20.149999999999999" customHeight="1" x14ac:dyDescent="0.35">
      <c r="A96" s="2">
        <f t="shared" si="4"/>
        <v>84</v>
      </c>
      <c r="B96" s="14">
        <v>84</v>
      </c>
      <c r="C96" s="12" t="s">
        <v>200</v>
      </c>
      <c r="D96" s="15">
        <v>1670</v>
      </c>
      <c r="E96" s="15">
        <v>11</v>
      </c>
      <c r="F96" s="15">
        <v>11</v>
      </c>
      <c r="G96" s="15">
        <f t="shared" si="3"/>
        <v>151.81818181818181</v>
      </c>
    </row>
    <row r="97" spans="1:7" ht="20.149999999999999" customHeight="1" x14ac:dyDescent="0.35">
      <c r="A97" s="2">
        <f t="shared" si="4"/>
        <v>85</v>
      </c>
      <c r="B97" s="14">
        <v>85</v>
      </c>
      <c r="C97" s="12" t="s">
        <v>143</v>
      </c>
      <c r="D97" s="15">
        <v>1670</v>
      </c>
      <c r="E97" s="15">
        <v>10</v>
      </c>
      <c r="F97" s="15">
        <v>10</v>
      </c>
      <c r="G97" s="15">
        <f t="shared" si="3"/>
        <v>167</v>
      </c>
    </row>
    <row r="98" spans="1:7" ht="20.149999999999999" customHeight="1" x14ac:dyDescent="0.35">
      <c r="A98" s="2">
        <f t="shared" si="4"/>
        <v>86</v>
      </c>
      <c r="B98" s="14">
        <v>86</v>
      </c>
      <c r="C98" s="12" t="s">
        <v>74</v>
      </c>
      <c r="D98" s="15">
        <v>1660</v>
      </c>
      <c r="E98" s="15">
        <v>10</v>
      </c>
      <c r="F98" s="15">
        <v>10</v>
      </c>
      <c r="G98" s="15">
        <f t="shared" si="3"/>
        <v>166</v>
      </c>
    </row>
    <row r="99" spans="1:7" ht="20.149999999999999" customHeight="1" x14ac:dyDescent="0.35">
      <c r="A99" s="2">
        <f t="shared" si="4"/>
        <v>87</v>
      </c>
      <c r="B99" s="14">
        <v>87</v>
      </c>
      <c r="C99" s="12" t="s">
        <v>96</v>
      </c>
      <c r="D99" s="15">
        <v>1660</v>
      </c>
      <c r="E99" s="15">
        <v>10</v>
      </c>
      <c r="F99" s="15">
        <v>10</v>
      </c>
      <c r="G99" s="15">
        <f t="shared" si="3"/>
        <v>166</v>
      </c>
    </row>
    <row r="100" spans="1:7" ht="20.149999999999999" customHeight="1" x14ac:dyDescent="0.35">
      <c r="A100" s="2">
        <f t="shared" si="4"/>
        <v>88</v>
      </c>
      <c r="B100" s="14">
        <v>88</v>
      </c>
      <c r="C100" s="12" t="s">
        <v>144</v>
      </c>
      <c r="D100" s="15">
        <v>1640</v>
      </c>
      <c r="E100" s="15">
        <v>11</v>
      </c>
      <c r="F100" s="15">
        <v>11</v>
      </c>
      <c r="G100" s="15">
        <f t="shared" si="3"/>
        <v>149.09090909090909</v>
      </c>
    </row>
    <row r="101" spans="1:7" ht="20.149999999999999" customHeight="1" x14ac:dyDescent="0.35">
      <c r="A101" s="2">
        <f t="shared" si="4"/>
        <v>89</v>
      </c>
      <c r="B101" s="14">
        <v>89</v>
      </c>
      <c r="C101" s="12" t="s">
        <v>126</v>
      </c>
      <c r="D101" s="15">
        <v>1640</v>
      </c>
      <c r="E101" s="15">
        <v>10</v>
      </c>
      <c r="F101" s="15">
        <v>10</v>
      </c>
      <c r="G101" s="15">
        <f t="shared" si="3"/>
        <v>164</v>
      </c>
    </row>
    <row r="102" spans="1:7" ht="20.149999999999999" customHeight="1" x14ac:dyDescent="0.35">
      <c r="A102" s="2">
        <f t="shared" si="4"/>
        <v>90</v>
      </c>
      <c r="B102" s="14">
        <v>90</v>
      </c>
      <c r="C102" s="12" t="s">
        <v>192</v>
      </c>
      <c r="D102" s="15">
        <v>1640</v>
      </c>
      <c r="E102" s="15">
        <v>9</v>
      </c>
      <c r="F102" s="15">
        <v>9</v>
      </c>
      <c r="G102" s="15">
        <f t="shared" si="3"/>
        <v>182.22222222222223</v>
      </c>
    </row>
    <row r="103" spans="1:7" ht="20.149999999999999" customHeight="1" x14ac:dyDescent="0.35">
      <c r="A103" s="2">
        <f t="shared" si="4"/>
        <v>91</v>
      </c>
      <c r="B103" s="14">
        <v>91</v>
      </c>
      <c r="C103" s="12" t="s">
        <v>179</v>
      </c>
      <c r="D103" s="15">
        <v>1600</v>
      </c>
      <c r="E103" s="15">
        <v>12</v>
      </c>
      <c r="F103" s="15">
        <v>12</v>
      </c>
      <c r="G103" s="15">
        <f t="shared" si="3"/>
        <v>133.33333333333334</v>
      </c>
    </row>
    <row r="104" spans="1:7" ht="20.149999999999999" customHeight="1" x14ac:dyDescent="0.35">
      <c r="A104" s="2">
        <f t="shared" si="4"/>
        <v>92</v>
      </c>
      <c r="B104" s="14">
        <v>92</v>
      </c>
      <c r="C104" s="12" t="s">
        <v>12</v>
      </c>
      <c r="D104" s="15">
        <v>1600</v>
      </c>
      <c r="E104" s="15">
        <v>11</v>
      </c>
      <c r="F104" s="15">
        <v>11</v>
      </c>
      <c r="G104" s="15">
        <f t="shared" si="3"/>
        <v>145.45454545454547</v>
      </c>
    </row>
    <row r="105" spans="1:7" ht="20.149999999999999" customHeight="1" x14ac:dyDescent="0.35">
      <c r="A105" s="2">
        <f t="shared" si="4"/>
        <v>93</v>
      </c>
      <c r="B105" s="14">
        <v>93</v>
      </c>
      <c r="C105" s="12" t="s">
        <v>124</v>
      </c>
      <c r="D105" s="15">
        <v>1570</v>
      </c>
      <c r="E105" s="15">
        <v>9</v>
      </c>
      <c r="F105" s="15">
        <v>9</v>
      </c>
      <c r="G105" s="15">
        <f t="shared" si="3"/>
        <v>174.44444444444446</v>
      </c>
    </row>
    <row r="106" spans="1:7" ht="20.149999999999999" customHeight="1" x14ac:dyDescent="0.35">
      <c r="A106" s="2">
        <f t="shared" si="4"/>
        <v>94</v>
      </c>
      <c r="B106" s="14">
        <v>94</v>
      </c>
      <c r="C106" s="12" t="s">
        <v>146</v>
      </c>
      <c r="D106" s="15">
        <v>1560</v>
      </c>
      <c r="E106" s="15">
        <v>14</v>
      </c>
      <c r="F106" s="15">
        <v>14</v>
      </c>
      <c r="G106" s="15">
        <f t="shared" si="3"/>
        <v>111.42857142857143</v>
      </c>
    </row>
    <row r="107" spans="1:7" ht="20.149999999999999" customHeight="1" x14ac:dyDescent="0.35">
      <c r="A107" s="2">
        <f t="shared" si="4"/>
        <v>95</v>
      </c>
      <c r="B107" s="14">
        <v>95</v>
      </c>
      <c r="C107" s="12" t="s">
        <v>78</v>
      </c>
      <c r="D107" s="15">
        <v>1560</v>
      </c>
      <c r="E107" s="15">
        <v>11</v>
      </c>
      <c r="F107" s="15">
        <v>11</v>
      </c>
      <c r="G107" s="15">
        <f t="shared" si="3"/>
        <v>141.81818181818181</v>
      </c>
    </row>
    <row r="108" spans="1:7" ht="20.149999999999999" customHeight="1" x14ac:dyDescent="0.35">
      <c r="A108" s="2">
        <f t="shared" si="4"/>
        <v>96</v>
      </c>
      <c r="B108" s="14">
        <v>96</v>
      </c>
      <c r="C108" s="12" t="s">
        <v>147</v>
      </c>
      <c r="D108" s="15">
        <v>1560</v>
      </c>
      <c r="E108" s="15">
        <v>11</v>
      </c>
      <c r="F108" s="15">
        <v>11</v>
      </c>
      <c r="G108" s="15">
        <f t="shared" si="3"/>
        <v>141.81818181818181</v>
      </c>
    </row>
    <row r="109" spans="1:7" ht="20.149999999999999" customHeight="1" x14ac:dyDescent="0.35">
      <c r="A109" s="2">
        <f t="shared" si="4"/>
        <v>97</v>
      </c>
      <c r="B109" s="14">
        <v>97</v>
      </c>
      <c r="C109" s="12" t="s">
        <v>72</v>
      </c>
      <c r="D109" s="15">
        <v>1540</v>
      </c>
      <c r="E109" s="15">
        <v>10</v>
      </c>
      <c r="F109" s="15">
        <v>10</v>
      </c>
      <c r="G109" s="15">
        <f t="shared" ref="G109:G123" si="5">IFERROR(D109/F109,0)</f>
        <v>154</v>
      </c>
    </row>
    <row r="110" spans="1:7" ht="20.149999999999999" customHeight="1" x14ac:dyDescent="0.35">
      <c r="A110" s="2">
        <f t="shared" si="4"/>
        <v>98</v>
      </c>
      <c r="B110" s="14">
        <v>98</v>
      </c>
      <c r="C110" s="12" t="s">
        <v>207</v>
      </c>
      <c r="D110" s="15">
        <v>1530</v>
      </c>
      <c r="E110" s="15">
        <v>13</v>
      </c>
      <c r="F110" s="15">
        <v>13</v>
      </c>
      <c r="G110" s="15">
        <f t="shared" si="5"/>
        <v>117.69230769230769</v>
      </c>
    </row>
    <row r="111" spans="1:7" ht="20.149999999999999" customHeight="1" x14ac:dyDescent="0.35">
      <c r="A111" s="2">
        <f t="shared" si="4"/>
        <v>99</v>
      </c>
      <c r="B111" s="14">
        <v>99</v>
      </c>
      <c r="C111" s="12" t="s">
        <v>24</v>
      </c>
      <c r="D111" s="15">
        <v>1520</v>
      </c>
      <c r="E111" s="15">
        <v>8</v>
      </c>
      <c r="F111" s="15">
        <v>8</v>
      </c>
      <c r="G111" s="15">
        <f t="shared" si="5"/>
        <v>190</v>
      </c>
    </row>
    <row r="112" spans="1:7" ht="20.149999999999999" customHeight="1" x14ac:dyDescent="0.35">
      <c r="A112" s="2">
        <f t="shared" si="4"/>
        <v>100</v>
      </c>
      <c r="B112" s="14">
        <v>100</v>
      </c>
      <c r="C112" s="12" t="s">
        <v>65</v>
      </c>
      <c r="D112" s="15">
        <v>1500</v>
      </c>
      <c r="E112" s="15">
        <v>10</v>
      </c>
      <c r="F112" s="15">
        <v>10</v>
      </c>
      <c r="G112" s="15">
        <f t="shared" si="5"/>
        <v>150</v>
      </c>
    </row>
    <row r="113" spans="1:7" ht="20.149999999999999" customHeight="1" x14ac:dyDescent="0.35">
      <c r="A113" s="2">
        <f t="shared" si="4"/>
        <v>101</v>
      </c>
      <c r="B113" s="14">
        <v>101</v>
      </c>
      <c r="C113" s="12" t="s">
        <v>148</v>
      </c>
      <c r="D113" s="15">
        <v>1500</v>
      </c>
      <c r="E113" s="15">
        <v>10</v>
      </c>
      <c r="F113" s="15">
        <v>10</v>
      </c>
      <c r="G113" s="15">
        <f t="shared" si="5"/>
        <v>150</v>
      </c>
    </row>
    <row r="114" spans="1:7" ht="20.149999999999999" customHeight="1" x14ac:dyDescent="0.35">
      <c r="A114" s="2">
        <f t="shared" si="4"/>
        <v>102</v>
      </c>
      <c r="B114" s="14">
        <v>102</v>
      </c>
      <c r="C114" s="12" t="s">
        <v>97</v>
      </c>
      <c r="D114" s="15">
        <v>1500</v>
      </c>
      <c r="E114" s="15">
        <v>7</v>
      </c>
      <c r="F114" s="15">
        <v>7</v>
      </c>
      <c r="G114" s="15">
        <f t="shared" si="5"/>
        <v>214.28571428571428</v>
      </c>
    </row>
    <row r="115" spans="1:7" ht="20.149999999999999" customHeight="1" x14ac:dyDescent="0.35">
      <c r="A115" s="2">
        <f t="shared" si="4"/>
        <v>103</v>
      </c>
      <c r="B115" s="14">
        <v>103</v>
      </c>
      <c r="C115" s="12" t="s">
        <v>119</v>
      </c>
      <c r="D115" s="15">
        <v>1480</v>
      </c>
      <c r="E115" s="15">
        <v>9</v>
      </c>
      <c r="F115" s="15">
        <v>9</v>
      </c>
      <c r="G115" s="15">
        <f t="shared" si="5"/>
        <v>164.44444444444446</v>
      </c>
    </row>
    <row r="116" spans="1:7" ht="20.149999999999999" customHeight="1" x14ac:dyDescent="0.35">
      <c r="A116" s="2">
        <f t="shared" si="4"/>
        <v>104</v>
      </c>
      <c r="B116" s="14">
        <v>104</v>
      </c>
      <c r="C116" s="12" t="s">
        <v>90</v>
      </c>
      <c r="D116" s="15">
        <v>1240</v>
      </c>
      <c r="E116" s="15">
        <v>9</v>
      </c>
      <c r="F116" s="15">
        <v>9</v>
      </c>
      <c r="G116" s="15">
        <f t="shared" si="5"/>
        <v>137.77777777777777</v>
      </c>
    </row>
    <row r="117" spans="1:7" ht="20.149999999999999" customHeight="1" x14ac:dyDescent="0.35">
      <c r="A117" s="2">
        <f t="shared" si="4"/>
        <v>105</v>
      </c>
      <c r="B117" s="14">
        <v>105</v>
      </c>
      <c r="C117" s="12" t="s">
        <v>231</v>
      </c>
      <c r="D117" s="15">
        <v>1170</v>
      </c>
      <c r="E117" s="15">
        <v>10</v>
      </c>
      <c r="F117" s="15">
        <v>10</v>
      </c>
      <c r="G117" s="15">
        <f t="shared" si="5"/>
        <v>117</v>
      </c>
    </row>
    <row r="118" spans="1:7" ht="20.149999999999999" customHeight="1" x14ac:dyDescent="0.35">
      <c r="A118" s="2">
        <f t="shared" si="4"/>
        <v>106</v>
      </c>
      <c r="B118" s="14">
        <v>106</v>
      </c>
      <c r="C118" s="12" t="s">
        <v>123</v>
      </c>
      <c r="D118" s="15">
        <v>1150</v>
      </c>
      <c r="E118" s="15">
        <v>9</v>
      </c>
      <c r="F118" s="15">
        <v>10</v>
      </c>
      <c r="G118" s="15">
        <f t="shared" si="5"/>
        <v>115</v>
      </c>
    </row>
    <row r="119" spans="1:7" ht="20.149999999999999" customHeight="1" x14ac:dyDescent="0.35">
      <c r="A119" s="2">
        <f t="shared" si="4"/>
        <v>107</v>
      </c>
      <c r="B119" s="14">
        <v>107</v>
      </c>
      <c r="C119" s="12" t="s">
        <v>110</v>
      </c>
      <c r="D119" s="15">
        <v>960</v>
      </c>
      <c r="E119" s="15">
        <v>6</v>
      </c>
      <c r="F119" s="15">
        <v>6</v>
      </c>
      <c r="G119" s="15">
        <f t="shared" si="5"/>
        <v>160</v>
      </c>
    </row>
    <row r="120" spans="1:7" ht="20.149999999999999" customHeight="1" x14ac:dyDescent="0.35">
      <c r="A120" s="2">
        <f t="shared" si="4"/>
        <v>108</v>
      </c>
      <c r="B120" s="14">
        <v>108</v>
      </c>
      <c r="C120" s="12" t="s">
        <v>120</v>
      </c>
      <c r="D120" s="15">
        <v>360</v>
      </c>
      <c r="E120" s="15">
        <v>2</v>
      </c>
      <c r="F120" s="15">
        <v>2</v>
      </c>
      <c r="G120" s="15">
        <f t="shared" si="5"/>
        <v>180</v>
      </c>
    </row>
    <row r="121" spans="1:7" ht="20.149999999999999" customHeight="1" x14ac:dyDescent="0.35">
      <c r="A121" s="2">
        <f t="shared" si="4"/>
        <v>109</v>
      </c>
      <c r="B121" s="14">
        <v>109</v>
      </c>
      <c r="C121" s="12" t="s">
        <v>60</v>
      </c>
      <c r="D121" s="15">
        <v>340</v>
      </c>
      <c r="E121" s="15">
        <v>2</v>
      </c>
      <c r="F121" s="15">
        <v>2</v>
      </c>
      <c r="G121" s="15">
        <f t="shared" si="5"/>
        <v>170</v>
      </c>
    </row>
    <row r="122" spans="1:7" ht="20.149999999999999" customHeight="1" x14ac:dyDescent="0.35">
      <c r="A122" s="2">
        <f t="shared" si="4"/>
        <v>110</v>
      </c>
      <c r="B122" s="14">
        <v>110</v>
      </c>
      <c r="C122" s="12" t="s">
        <v>71</v>
      </c>
      <c r="D122" s="15">
        <v>0</v>
      </c>
      <c r="E122" s="15">
        <v>0</v>
      </c>
      <c r="F122" s="15">
        <v>0</v>
      </c>
      <c r="G122" s="15">
        <f t="shared" si="5"/>
        <v>0</v>
      </c>
    </row>
    <row r="123" spans="1:7" ht="20.149999999999999" customHeight="1" x14ac:dyDescent="0.35">
      <c r="A123" s="2">
        <f t="shared" si="4"/>
        <v>111</v>
      </c>
      <c r="B123" s="14">
        <v>111</v>
      </c>
      <c r="C123" s="12" t="s">
        <v>94</v>
      </c>
      <c r="D123" s="15">
        <v>0</v>
      </c>
      <c r="E123" s="15">
        <v>0</v>
      </c>
      <c r="F123" s="15">
        <v>0</v>
      </c>
      <c r="G123" s="15">
        <f t="shared" si="5"/>
        <v>0</v>
      </c>
    </row>
    <row r="124" spans="1:7" ht="20.149999999999999" customHeight="1" x14ac:dyDescent="0.35">
      <c r="B124" s="12" t="s">
        <v>131</v>
      </c>
      <c r="C124" s="12"/>
      <c r="D124" s="15">
        <f>SUBTOTAL(109,AllianceMobilization202601[Points
reached])</f>
        <v>268580</v>
      </c>
      <c r="E124" s="15">
        <f>SUBTOTAL(109,AllianceMobilization202601[Quests
started])</f>
        <v>1558</v>
      </c>
      <c r="F124" s="15">
        <f>SUBTOTAL(109,AllianceMobilization202601[Quests
completed])</f>
        <v>1569</v>
      </c>
      <c r="G124" s="16"/>
    </row>
    <row r="125" spans="1:7" ht="20.149999999999999" customHeight="1" x14ac:dyDescent="0.35">
      <c r="B125" s="5" t="s">
        <v>132</v>
      </c>
      <c r="C125" s="5"/>
      <c r="D125" s="6">
        <f>AVERAGE(D13:D123)</f>
        <v>2419.6396396396394</v>
      </c>
      <c r="E125" s="6">
        <f>AVERAGE(E13:E123)</f>
        <v>14.036036036036036</v>
      </c>
      <c r="F125" s="6">
        <f>AVERAGE(F13:F123)</f>
        <v>14.135135135135135</v>
      </c>
      <c r="G125" s="6">
        <f>AVERAGE(G13:G123)</f>
        <v>166.2843746057782</v>
      </c>
    </row>
  </sheetData>
  <mergeCells count="7">
    <mergeCell ref="B3:C3"/>
    <mergeCell ref="B10:C10"/>
    <mergeCell ref="B9:C9"/>
    <mergeCell ref="B4:C4"/>
    <mergeCell ref="B5:C5"/>
    <mergeCell ref="B6:C6"/>
    <mergeCell ref="B7:C7"/>
  </mergeCells>
  <conditionalFormatting sqref="D13:D123">
    <cfRule type="cellIs" dxfId="20" priority="1" operator="lessThan">
      <formula>$D$10</formula>
    </cfRule>
    <cfRule type="cellIs" dxfId="19" priority="2" operator="greaterThan">
      <formula>$D$10</formula>
    </cfRule>
    <cfRule type="cellIs" dxfId="18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B516-CA1A-442B-9920-2E01B20BD451}">
  <sheetPr>
    <pageSetUpPr fitToPage="1"/>
  </sheetPr>
  <dimension ref="A1:G153"/>
  <sheetViews>
    <sheetView topLeftCell="A51" zoomScaleNormal="100" workbookViewId="0">
      <selection activeCell="C71" sqref="C71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7" ht="24" customHeight="1" x14ac:dyDescent="0.35">
      <c r="B1" s="9" t="s">
        <v>238</v>
      </c>
      <c r="C1" s="10"/>
      <c r="D1" s="10"/>
    </row>
    <row r="2" spans="1:7" ht="20.149999999999999" customHeight="1" x14ac:dyDescent="0.35">
      <c r="B2" s="10"/>
      <c r="C2" s="10"/>
      <c r="D2" s="10"/>
    </row>
    <row r="3" spans="1:7" ht="20.149999999999999" customHeight="1" x14ac:dyDescent="0.35">
      <c r="B3" s="20" t="s">
        <v>236</v>
      </c>
      <c r="C3" s="20"/>
      <c r="D3" s="19">
        <v>3662</v>
      </c>
    </row>
    <row r="4" spans="1:7" ht="20.149999999999999" customHeight="1" x14ac:dyDescent="0.35">
      <c r="B4" s="20" t="s">
        <v>0</v>
      </c>
      <c r="C4" s="20"/>
      <c r="D4" s="10" t="s">
        <v>155</v>
      </c>
    </row>
    <row r="5" spans="1:7" ht="20.149999999999999" customHeight="1" x14ac:dyDescent="0.35">
      <c r="B5" s="20" t="s">
        <v>1</v>
      </c>
      <c r="C5" s="20"/>
      <c r="D5" s="10" t="s">
        <v>156</v>
      </c>
    </row>
    <row r="6" spans="1:7" ht="20.149999999999999" customHeight="1" x14ac:dyDescent="0.35">
      <c r="B6" s="20" t="s">
        <v>8</v>
      </c>
      <c r="C6" s="20"/>
      <c r="D6" s="11">
        <v>313350</v>
      </c>
    </row>
    <row r="7" spans="1:7" ht="20.149999999999999" customHeight="1" x14ac:dyDescent="0.35">
      <c r="B7" s="20" t="s">
        <v>6</v>
      </c>
      <c r="C7" s="20"/>
      <c r="D7" s="11" t="s">
        <v>136</v>
      </c>
    </row>
    <row r="8" spans="1:7" ht="20.149999999999999" customHeight="1" x14ac:dyDescent="0.35">
      <c r="B8" s="3"/>
      <c r="C8" s="3" t="s">
        <v>210</v>
      </c>
      <c r="D8" s="11">
        <v>18</v>
      </c>
    </row>
    <row r="9" spans="1:7" ht="20.149999999999999" customHeight="1" x14ac:dyDescent="0.35">
      <c r="B9" s="20" t="s">
        <v>4</v>
      </c>
      <c r="C9" s="20"/>
      <c r="D9" s="10" t="s">
        <v>154</v>
      </c>
    </row>
    <row r="10" spans="1:7" ht="20.149999999999999" customHeight="1" x14ac:dyDescent="0.35">
      <c r="B10" s="20" t="s">
        <v>151</v>
      </c>
      <c r="C10" s="20"/>
      <c r="D10" s="11">
        <v>2000</v>
      </c>
    </row>
    <row r="11" spans="1:7" ht="20.149999999999999" customHeight="1" x14ac:dyDescent="0.35"/>
    <row r="12" spans="1:7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7" ht="20.149999999999999" customHeight="1" x14ac:dyDescent="0.35">
      <c r="A13" s="2">
        <f>ROW(A1)</f>
        <v>1</v>
      </c>
      <c r="B13" s="14">
        <v>1</v>
      </c>
      <c r="C13" s="12" t="s">
        <v>41</v>
      </c>
      <c r="D13" s="15">
        <v>6470</v>
      </c>
      <c r="E13" s="15">
        <v>32</v>
      </c>
      <c r="F13" s="15">
        <v>32</v>
      </c>
      <c r="G13" s="15">
        <f t="shared" ref="G13:G44" si="0">IFERROR(D13/F13,0)</f>
        <v>202.1875</v>
      </c>
    </row>
    <row r="14" spans="1:7" ht="20.149999999999999" customHeight="1" x14ac:dyDescent="0.35">
      <c r="A14" s="2">
        <f t="shared" ref="A14:A77" si="1">ROW(A2)</f>
        <v>2</v>
      </c>
      <c r="B14" s="14">
        <v>2</v>
      </c>
      <c r="C14" s="12" t="s">
        <v>157</v>
      </c>
      <c r="D14" s="15">
        <v>5940</v>
      </c>
      <c r="E14" s="15">
        <v>27</v>
      </c>
      <c r="F14" s="15">
        <v>27</v>
      </c>
      <c r="G14" s="15">
        <f t="shared" si="0"/>
        <v>220</v>
      </c>
    </row>
    <row r="15" spans="1:7" ht="20.149999999999999" customHeight="1" x14ac:dyDescent="0.35">
      <c r="A15" s="2">
        <f t="shared" si="1"/>
        <v>3</v>
      </c>
      <c r="B15" s="14">
        <v>3</v>
      </c>
      <c r="C15" s="12" t="s">
        <v>38</v>
      </c>
      <c r="D15" s="15">
        <v>5670</v>
      </c>
      <c r="E15" s="15">
        <v>33</v>
      </c>
      <c r="F15" s="15">
        <v>34</v>
      </c>
      <c r="G15" s="15">
        <f t="shared" si="0"/>
        <v>166.76470588235293</v>
      </c>
    </row>
    <row r="16" spans="1:7" ht="20.149999999999999" customHeight="1" x14ac:dyDescent="0.35">
      <c r="A16" s="2">
        <f t="shared" si="1"/>
        <v>4</v>
      </c>
      <c r="B16" s="14">
        <v>4</v>
      </c>
      <c r="C16" s="12" t="s">
        <v>158</v>
      </c>
      <c r="D16" s="15">
        <v>5480</v>
      </c>
      <c r="E16" s="15">
        <v>25</v>
      </c>
      <c r="F16" s="15">
        <v>25</v>
      </c>
      <c r="G16" s="15">
        <f t="shared" si="0"/>
        <v>219.2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13</v>
      </c>
      <c r="D17" s="15">
        <v>3800</v>
      </c>
      <c r="E17" s="15">
        <v>17</v>
      </c>
      <c r="F17" s="15">
        <v>17</v>
      </c>
      <c r="G17" s="15">
        <f t="shared" si="0"/>
        <v>223.52941176470588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159</v>
      </c>
      <c r="D18" s="15">
        <v>3740</v>
      </c>
      <c r="E18" s="15">
        <v>18</v>
      </c>
      <c r="F18" s="15">
        <v>18</v>
      </c>
      <c r="G18" s="15">
        <f t="shared" si="0"/>
        <v>207.77777777777777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160</v>
      </c>
      <c r="D19" s="15">
        <v>3720</v>
      </c>
      <c r="E19" s="15">
        <v>18</v>
      </c>
      <c r="F19" s="15">
        <v>18</v>
      </c>
      <c r="G19" s="15">
        <f t="shared" si="0"/>
        <v>206.66666666666666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161</v>
      </c>
      <c r="D20" s="15">
        <v>3700</v>
      </c>
      <c r="E20" s="15">
        <v>21</v>
      </c>
      <c r="F20" s="15">
        <v>22</v>
      </c>
      <c r="G20" s="15">
        <f t="shared" si="0"/>
        <v>168.18181818181819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162</v>
      </c>
      <c r="D21" s="15">
        <v>3700</v>
      </c>
      <c r="E21" s="15">
        <v>18</v>
      </c>
      <c r="F21" s="15">
        <v>18</v>
      </c>
      <c r="G21" s="15">
        <f t="shared" si="0"/>
        <v>205.55555555555554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15</v>
      </c>
      <c r="D22" s="15">
        <v>3660</v>
      </c>
      <c r="E22" s="15">
        <v>19</v>
      </c>
      <c r="F22" s="15">
        <v>19</v>
      </c>
      <c r="G22" s="15">
        <f t="shared" si="0"/>
        <v>192.63157894736841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163</v>
      </c>
      <c r="D23" s="15">
        <v>3440</v>
      </c>
      <c r="E23" s="15">
        <v>20</v>
      </c>
      <c r="F23" s="15">
        <v>20</v>
      </c>
      <c r="G23" s="15">
        <f t="shared" si="0"/>
        <v>172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164</v>
      </c>
      <c r="D24" s="15">
        <v>3180</v>
      </c>
      <c r="E24" s="15">
        <v>16</v>
      </c>
      <c r="F24" s="15">
        <v>16</v>
      </c>
      <c r="G24" s="15">
        <f t="shared" si="0"/>
        <v>198.75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137</v>
      </c>
      <c r="D25" s="15">
        <v>3160</v>
      </c>
      <c r="E25" s="15">
        <v>17</v>
      </c>
      <c r="F25" s="15">
        <v>17</v>
      </c>
      <c r="G25" s="15">
        <f t="shared" si="0"/>
        <v>185.88235294117646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165</v>
      </c>
      <c r="D26" s="15">
        <v>3050</v>
      </c>
      <c r="E26" s="15">
        <v>17</v>
      </c>
      <c r="F26" s="15">
        <v>17</v>
      </c>
      <c r="G26" s="15">
        <f t="shared" si="0"/>
        <v>179.41176470588235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203</v>
      </c>
      <c r="D27" s="15">
        <v>3010</v>
      </c>
      <c r="E27" s="15">
        <v>18</v>
      </c>
      <c r="F27" s="15">
        <v>18</v>
      </c>
      <c r="G27" s="15">
        <f t="shared" si="0"/>
        <v>167.22222222222223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115</v>
      </c>
      <c r="D28" s="15">
        <v>2890</v>
      </c>
      <c r="E28" s="15">
        <v>17</v>
      </c>
      <c r="F28" s="15">
        <v>17</v>
      </c>
      <c r="G28" s="15">
        <f t="shared" si="0"/>
        <v>170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204</v>
      </c>
      <c r="D29" s="15">
        <v>2820</v>
      </c>
      <c r="E29" s="15">
        <v>13</v>
      </c>
      <c r="F29" s="15">
        <v>13</v>
      </c>
      <c r="G29" s="15">
        <f t="shared" si="0"/>
        <v>216.92307692307693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166</v>
      </c>
      <c r="D30" s="15">
        <v>2800</v>
      </c>
      <c r="E30" s="15">
        <v>14</v>
      </c>
      <c r="F30" s="15">
        <v>14</v>
      </c>
      <c r="G30" s="15">
        <f t="shared" si="0"/>
        <v>200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167</v>
      </c>
      <c r="D31" s="15">
        <v>2800</v>
      </c>
      <c r="E31" s="15">
        <v>14</v>
      </c>
      <c r="F31" s="15">
        <v>14</v>
      </c>
      <c r="G31" s="15">
        <f t="shared" si="0"/>
        <v>200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168</v>
      </c>
      <c r="D32" s="15">
        <v>2780</v>
      </c>
      <c r="E32" s="15">
        <v>15</v>
      </c>
      <c r="F32" s="15">
        <v>15</v>
      </c>
      <c r="G32" s="15">
        <f t="shared" si="0"/>
        <v>185.33333333333334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31</v>
      </c>
      <c r="D33" s="15">
        <v>2740</v>
      </c>
      <c r="E33" s="15">
        <v>15</v>
      </c>
      <c r="F33" s="15">
        <v>15</v>
      </c>
      <c r="G33" s="15">
        <f t="shared" si="0"/>
        <v>182.66666666666666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18</v>
      </c>
      <c r="D34" s="15">
        <v>2730</v>
      </c>
      <c r="E34" s="15">
        <v>15</v>
      </c>
      <c r="F34" s="15">
        <v>15</v>
      </c>
      <c r="G34" s="15">
        <f t="shared" si="0"/>
        <v>182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26</v>
      </c>
      <c r="D35" s="15">
        <v>2720</v>
      </c>
      <c r="E35" s="15">
        <v>15</v>
      </c>
      <c r="F35" s="15">
        <v>15</v>
      </c>
      <c r="G35" s="15">
        <f t="shared" si="0"/>
        <v>181.33333333333334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107</v>
      </c>
      <c r="D36" s="15">
        <v>2580</v>
      </c>
      <c r="E36" s="15">
        <v>16</v>
      </c>
      <c r="F36" s="15">
        <v>16</v>
      </c>
      <c r="G36" s="15">
        <f t="shared" si="0"/>
        <v>161.25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170</v>
      </c>
      <c r="D37" s="15">
        <v>2580</v>
      </c>
      <c r="E37" s="15">
        <v>16</v>
      </c>
      <c r="F37" s="15">
        <v>16</v>
      </c>
      <c r="G37" s="15">
        <f t="shared" si="0"/>
        <v>161.25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171</v>
      </c>
      <c r="D38" s="15">
        <v>2560</v>
      </c>
      <c r="E38" s="15">
        <v>12</v>
      </c>
      <c r="F38" s="15">
        <v>12</v>
      </c>
      <c r="G38" s="15">
        <f t="shared" si="0"/>
        <v>213.33333333333334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172</v>
      </c>
      <c r="D39" s="15">
        <v>2520</v>
      </c>
      <c r="E39" s="15">
        <v>14</v>
      </c>
      <c r="F39" s="15">
        <v>14</v>
      </c>
      <c r="G39" s="15">
        <f t="shared" si="0"/>
        <v>180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173</v>
      </c>
      <c r="D40" s="15">
        <v>2500</v>
      </c>
      <c r="E40" s="15">
        <v>13</v>
      </c>
      <c r="F40" s="15">
        <v>13</v>
      </c>
      <c r="G40" s="15">
        <f t="shared" si="0"/>
        <v>192.30769230769232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169</v>
      </c>
      <c r="D41" s="15">
        <v>2460</v>
      </c>
      <c r="E41" s="15">
        <v>15</v>
      </c>
      <c r="F41" s="15">
        <v>15</v>
      </c>
      <c r="G41" s="15">
        <f t="shared" si="0"/>
        <v>164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174</v>
      </c>
      <c r="D42" s="15">
        <v>2460</v>
      </c>
      <c r="E42" s="15">
        <v>12</v>
      </c>
      <c r="F42" s="15">
        <v>12</v>
      </c>
      <c r="G42" s="15">
        <f t="shared" si="0"/>
        <v>205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101</v>
      </c>
      <c r="D43" s="15">
        <v>2420</v>
      </c>
      <c r="E43" s="15">
        <v>14</v>
      </c>
      <c r="F43" s="15">
        <v>14</v>
      </c>
      <c r="G43" s="15">
        <f t="shared" si="0"/>
        <v>172.85714285714286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51</v>
      </c>
      <c r="D44" s="15">
        <v>2410</v>
      </c>
      <c r="E44" s="15">
        <v>13</v>
      </c>
      <c r="F44" s="15">
        <v>13</v>
      </c>
      <c r="G44" s="15">
        <f t="shared" si="0"/>
        <v>185.38461538461539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17</v>
      </c>
      <c r="D45" s="15">
        <v>2400</v>
      </c>
      <c r="E45" s="15">
        <v>11</v>
      </c>
      <c r="F45" s="15">
        <v>11</v>
      </c>
      <c r="G45" s="15">
        <f t="shared" ref="G45:G76" si="2">IFERROR(D45/F45,0)</f>
        <v>218.18181818181819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42</v>
      </c>
      <c r="D46" s="15">
        <v>2390</v>
      </c>
      <c r="E46" s="15">
        <v>15</v>
      </c>
      <c r="F46" s="15">
        <v>15</v>
      </c>
      <c r="G46" s="15">
        <f t="shared" si="2"/>
        <v>159.33333333333334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74</v>
      </c>
      <c r="D47" s="15">
        <v>2390</v>
      </c>
      <c r="E47" s="15">
        <v>14</v>
      </c>
      <c r="F47" s="15">
        <v>14</v>
      </c>
      <c r="G47" s="15">
        <f t="shared" si="2"/>
        <v>170.71428571428572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64</v>
      </c>
      <c r="D48" s="15">
        <v>2370</v>
      </c>
      <c r="E48" s="15">
        <v>16</v>
      </c>
      <c r="F48" s="15">
        <v>16</v>
      </c>
      <c r="G48" s="15">
        <f t="shared" si="2"/>
        <v>148.125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54</v>
      </c>
      <c r="D49" s="15">
        <v>2370</v>
      </c>
      <c r="E49" s="15">
        <v>16</v>
      </c>
      <c r="F49" s="15">
        <v>16</v>
      </c>
      <c r="G49" s="15">
        <f t="shared" si="2"/>
        <v>148.125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122</v>
      </c>
      <c r="D50" s="15">
        <v>2370</v>
      </c>
      <c r="E50" s="15">
        <v>13</v>
      </c>
      <c r="F50" s="15">
        <v>13</v>
      </c>
      <c r="G50" s="15">
        <f t="shared" si="2"/>
        <v>182.30769230769232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138</v>
      </c>
      <c r="D51" s="15">
        <v>2350</v>
      </c>
      <c r="E51" s="15">
        <v>15</v>
      </c>
      <c r="F51" s="15">
        <v>15</v>
      </c>
      <c r="G51" s="15">
        <f t="shared" si="2"/>
        <v>156.66666666666666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77</v>
      </c>
      <c r="D52" s="15">
        <v>2320</v>
      </c>
      <c r="E52" s="15">
        <v>12</v>
      </c>
      <c r="F52" s="15">
        <v>12</v>
      </c>
      <c r="G52" s="15">
        <f t="shared" si="2"/>
        <v>193.33333333333334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72</v>
      </c>
      <c r="D53" s="15">
        <v>2300</v>
      </c>
      <c r="E53" s="15">
        <v>14</v>
      </c>
      <c r="F53" s="15">
        <v>14</v>
      </c>
      <c r="G53" s="15">
        <f t="shared" si="2"/>
        <v>164.28571428571428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175</v>
      </c>
      <c r="D54" s="15">
        <v>2300</v>
      </c>
      <c r="E54" s="15">
        <v>14</v>
      </c>
      <c r="F54" s="15">
        <v>14</v>
      </c>
      <c r="G54" s="15">
        <f t="shared" si="2"/>
        <v>164.28571428571428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366</v>
      </c>
      <c r="D55" s="15">
        <v>2300</v>
      </c>
      <c r="E55" s="15">
        <v>13</v>
      </c>
      <c r="F55" s="15">
        <v>13</v>
      </c>
      <c r="G55" s="15">
        <f t="shared" si="2"/>
        <v>176.92307692307693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126</v>
      </c>
      <c r="D56" s="15">
        <v>2300</v>
      </c>
      <c r="E56" s="15">
        <v>12</v>
      </c>
      <c r="F56" s="15">
        <v>12</v>
      </c>
      <c r="G56" s="15">
        <f t="shared" si="2"/>
        <v>191.66666666666666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125</v>
      </c>
      <c r="D57" s="15">
        <v>2280</v>
      </c>
      <c r="E57" s="15">
        <v>16</v>
      </c>
      <c r="F57" s="15">
        <v>16</v>
      </c>
      <c r="G57" s="15">
        <f t="shared" si="2"/>
        <v>142.5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63</v>
      </c>
      <c r="D58" s="15">
        <v>2280</v>
      </c>
      <c r="E58" s="15">
        <v>12</v>
      </c>
      <c r="F58" s="15">
        <v>12</v>
      </c>
      <c r="G58" s="15">
        <f t="shared" si="2"/>
        <v>190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114</v>
      </c>
      <c r="D59" s="15">
        <v>2270</v>
      </c>
      <c r="E59" s="15">
        <v>13</v>
      </c>
      <c r="F59" s="15">
        <v>13</v>
      </c>
      <c r="G59" s="15">
        <f t="shared" si="2"/>
        <v>174.61538461538461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141</v>
      </c>
      <c r="D60" s="15">
        <v>2260</v>
      </c>
      <c r="E60" s="15">
        <v>17</v>
      </c>
      <c r="F60" s="15">
        <v>17</v>
      </c>
      <c r="G60" s="15">
        <f t="shared" si="2"/>
        <v>132.94117647058823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149</v>
      </c>
      <c r="D61" s="15">
        <v>2240</v>
      </c>
      <c r="E61" s="15">
        <v>13</v>
      </c>
      <c r="F61" s="15">
        <v>13</v>
      </c>
      <c r="G61" s="15">
        <f t="shared" si="2"/>
        <v>172.30769230769232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109</v>
      </c>
      <c r="D62" s="15">
        <v>2240</v>
      </c>
      <c r="E62" s="15">
        <v>12</v>
      </c>
      <c r="F62" s="15">
        <v>12</v>
      </c>
      <c r="G62" s="15">
        <f t="shared" si="2"/>
        <v>186.66666666666666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176</v>
      </c>
      <c r="D63" s="15">
        <v>2230</v>
      </c>
      <c r="E63" s="15">
        <v>12</v>
      </c>
      <c r="F63" s="15">
        <v>12</v>
      </c>
      <c r="G63" s="15">
        <f t="shared" si="2"/>
        <v>185.83333333333334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177</v>
      </c>
      <c r="D64" s="15">
        <v>2230</v>
      </c>
      <c r="E64" s="15">
        <v>12</v>
      </c>
      <c r="F64" s="15">
        <v>12</v>
      </c>
      <c r="G64" s="15">
        <f t="shared" si="2"/>
        <v>185.83333333333334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147</v>
      </c>
      <c r="D65" s="15">
        <v>2220</v>
      </c>
      <c r="E65" s="15">
        <v>13</v>
      </c>
      <c r="F65" s="15">
        <v>13</v>
      </c>
      <c r="G65" s="15">
        <f t="shared" si="2"/>
        <v>170.76923076923077</v>
      </c>
    </row>
    <row r="66" spans="1:7" ht="20.149999999999999" customHeight="1" x14ac:dyDescent="0.35">
      <c r="A66" s="2">
        <f t="shared" si="1"/>
        <v>54</v>
      </c>
      <c r="B66" s="14">
        <v>54</v>
      </c>
      <c r="C66" s="13" t="s">
        <v>108</v>
      </c>
      <c r="D66" s="15">
        <v>2220</v>
      </c>
      <c r="E66" s="15">
        <v>11</v>
      </c>
      <c r="F66" s="15">
        <v>11</v>
      </c>
      <c r="G66" s="15">
        <f t="shared" si="2"/>
        <v>201.81818181818181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117</v>
      </c>
      <c r="D67" s="15">
        <v>2210</v>
      </c>
      <c r="E67" s="15">
        <v>16</v>
      </c>
      <c r="F67" s="15">
        <v>16</v>
      </c>
      <c r="G67" s="15">
        <f t="shared" si="2"/>
        <v>138.125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58</v>
      </c>
      <c r="D68" s="15">
        <v>2200</v>
      </c>
      <c r="E68" s="15">
        <v>16</v>
      </c>
      <c r="F68" s="15">
        <v>16</v>
      </c>
      <c r="G68" s="15">
        <f t="shared" si="2"/>
        <v>137.5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57</v>
      </c>
      <c r="D69" s="15">
        <v>2180</v>
      </c>
      <c r="E69" s="15">
        <v>11</v>
      </c>
      <c r="F69" s="15">
        <v>11</v>
      </c>
      <c r="G69" s="15">
        <f t="shared" si="2"/>
        <v>198.18181818181819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19</v>
      </c>
      <c r="D70" s="15">
        <v>2170</v>
      </c>
      <c r="E70" s="15">
        <v>15</v>
      </c>
      <c r="F70" s="15">
        <v>15</v>
      </c>
      <c r="G70" s="15">
        <f t="shared" si="2"/>
        <v>144.66666666666666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84</v>
      </c>
      <c r="D71" s="15">
        <v>2160</v>
      </c>
      <c r="E71" s="15">
        <v>14</v>
      </c>
      <c r="F71" s="15">
        <v>14</v>
      </c>
      <c r="G71" s="15">
        <f t="shared" si="2"/>
        <v>154.28571428571428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47</v>
      </c>
      <c r="D72" s="15">
        <v>2160</v>
      </c>
      <c r="E72" s="15">
        <v>13</v>
      </c>
      <c r="F72" s="15">
        <v>13</v>
      </c>
      <c r="G72" s="15">
        <f t="shared" si="2"/>
        <v>166.15384615384616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178</v>
      </c>
      <c r="D73" s="15">
        <v>2160</v>
      </c>
      <c r="E73" s="15">
        <v>11</v>
      </c>
      <c r="F73" s="15">
        <v>11</v>
      </c>
      <c r="G73" s="15">
        <f t="shared" si="2"/>
        <v>196.36363636363637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55</v>
      </c>
      <c r="D74" s="15">
        <v>2150</v>
      </c>
      <c r="E74" s="15">
        <v>15</v>
      </c>
      <c r="F74" s="15">
        <v>15</v>
      </c>
      <c r="G74" s="15">
        <f t="shared" si="2"/>
        <v>143.33333333333334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139</v>
      </c>
      <c r="D75" s="15">
        <v>2140</v>
      </c>
      <c r="E75" s="15">
        <v>15</v>
      </c>
      <c r="F75" s="15">
        <v>15</v>
      </c>
      <c r="G75" s="15">
        <f t="shared" si="2"/>
        <v>142.66666666666666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75</v>
      </c>
      <c r="D76" s="15">
        <v>2140</v>
      </c>
      <c r="E76" s="15">
        <v>14</v>
      </c>
      <c r="F76" s="15">
        <v>14</v>
      </c>
      <c r="G76" s="15">
        <f t="shared" si="2"/>
        <v>152.85714285714286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179</v>
      </c>
      <c r="D77" s="15">
        <v>2140</v>
      </c>
      <c r="E77" s="15">
        <v>12</v>
      </c>
      <c r="F77" s="15">
        <v>12</v>
      </c>
      <c r="G77" s="15">
        <f t="shared" ref="G77:G108" si="3">IFERROR(D77/F77,0)</f>
        <v>178.33333333333334</v>
      </c>
    </row>
    <row r="78" spans="1:7" ht="20.149999999999999" customHeight="1" x14ac:dyDescent="0.35">
      <c r="A78" s="2">
        <f t="shared" ref="A78:A141" si="4">ROW(A66)</f>
        <v>66</v>
      </c>
      <c r="B78" s="14">
        <v>66</v>
      </c>
      <c r="C78" s="12" t="s">
        <v>23</v>
      </c>
      <c r="D78" s="15">
        <v>2140</v>
      </c>
      <c r="E78" s="15">
        <v>11</v>
      </c>
      <c r="F78" s="15">
        <v>11</v>
      </c>
      <c r="G78" s="15">
        <f t="shared" si="3"/>
        <v>194.54545454545453</v>
      </c>
    </row>
    <row r="79" spans="1:7" ht="20.149999999999999" customHeight="1" x14ac:dyDescent="0.35">
      <c r="A79" s="2">
        <f t="shared" si="4"/>
        <v>67</v>
      </c>
      <c r="B79" s="14">
        <v>67</v>
      </c>
      <c r="C79" s="12" t="s">
        <v>180</v>
      </c>
      <c r="D79" s="15">
        <v>2130</v>
      </c>
      <c r="E79" s="15">
        <v>15</v>
      </c>
      <c r="F79" s="15">
        <v>15</v>
      </c>
      <c r="G79" s="15">
        <f t="shared" si="3"/>
        <v>142</v>
      </c>
    </row>
    <row r="80" spans="1:7" ht="20.149999999999999" customHeight="1" x14ac:dyDescent="0.35">
      <c r="A80" s="2">
        <f t="shared" si="4"/>
        <v>68</v>
      </c>
      <c r="B80" s="14">
        <v>68</v>
      </c>
      <c r="C80" s="12" t="s">
        <v>65</v>
      </c>
      <c r="D80" s="15">
        <v>2120</v>
      </c>
      <c r="E80" s="15">
        <v>15</v>
      </c>
      <c r="F80" s="15">
        <v>15</v>
      </c>
      <c r="G80" s="15">
        <f t="shared" si="3"/>
        <v>141.33333333333334</v>
      </c>
    </row>
    <row r="81" spans="1:7" ht="20.149999999999999" customHeight="1" x14ac:dyDescent="0.35">
      <c r="A81" s="2">
        <f t="shared" si="4"/>
        <v>69</v>
      </c>
      <c r="B81" s="14">
        <v>69</v>
      </c>
      <c r="C81" s="12" t="s">
        <v>181</v>
      </c>
      <c r="D81" s="15">
        <v>2120</v>
      </c>
      <c r="E81" s="15">
        <v>13</v>
      </c>
      <c r="F81" s="15">
        <v>13</v>
      </c>
      <c r="G81" s="15">
        <f t="shared" si="3"/>
        <v>163.07692307692307</v>
      </c>
    </row>
    <row r="82" spans="1:7" ht="20.149999999999999" customHeight="1" x14ac:dyDescent="0.35">
      <c r="A82" s="2">
        <f t="shared" si="4"/>
        <v>70</v>
      </c>
      <c r="B82" s="14">
        <v>70</v>
      </c>
      <c r="C82" s="12" t="s">
        <v>182</v>
      </c>
      <c r="D82" s="15">
        <v>2120</v>
      </c>
      <c r="E82" s="15">
        <v>13</v>
      </c>
      <c r="F82" s="15">
        <v>13</v>
      </c>
      <c r="G82" s="15">
        <f t="shared" si="3"/>
        <v>163.07692307692307</v>
      </c>
    </row>
    <row r="83" spans="1:7" ht="20.149999999999999" customHeight="1" x14ac:dyDescent="0.35">
      <c r="A83" s="2">
        <f t="shared" si="4"/>
        <v>71</v>
      </c>
      <c r="B83" s="14">
        <v>71</v>
      </c>
      <c r="C83" s="12" t="s">
        <v>229</v>
      </c>
      <c r="D83" s="15">
        <v>2110</v>
      </c>
      <c r="E83" s="15">
        <v>13</v>
      </c>
      <c r="F83" s="15">
        <v>13</v>
      </c>
      <c r="G83" s="15">
        <f t="shared" si="3"/>
        <v>162.30769230769232</v>
      </c>
    </row>
    <row r="84" spans="1:7" ht="20.149999999999999" customHeight="1" x14ac:dyDescent="0.35">
      <c r="A84" s="2">
        <f t="shared" si="4"/>
        <v>72</v>
      </c>
      <c r="B84" s="14">
        <v>72</v>
      </c>
      <c r="C84" s="12" t="s">
        <v>113</v>
      </c>
      <c r="D84" s="15">
        <v>2110</v>
      </c>
      <c r="E84" s="15">
        <v>11</v>
      </c>
      <c r="F84" s="15">
        <v>11</v>
      </c>
      <c r="G84" s="15">
        <f t="shared" si="3"/>
        <v>191.81818181818181</v>
      </c>
    </row>
    <row r="85" spans="1:7" ht="20.149999999999999" customHeight="1" x14ac:dyDescent="0.35">
      <c r="A85" s="2">
        <f t="shared" si="4"/>
        <v>73</v>
      </c>
      <c r="B85" s="14">
        <v>73</v>
      </c>
      <c r="C85" s="12" t="s">
        <v>56</v>
      </c>
      <c r="D85" s="15">
        <v>2110</v>
      </c>
      <c r="E85" s="15">
        <v>10</v>
      </c>
      <c r="F85" s="15">
        <v>10</v>
      </c>
      <c r="G85" s="15">
        <f t="shared" si="3"/>
        <v>211</v>
      </c>
    </row>
    <row r="86" spans="1:7" ht="20.149999999999999" customHeight="1" x14ac:dyDescent="0.35">
      <c r="A86" s="2">
        <f t="shared" si="4"/>
        <v>74</v>
      </c>
      <c r="B86" s="14">
        <v>74</v>
      </c>
      <c r="C86" s="12" t="s">
        <v>145</v>
      </c>
      <c r="D86" s="15">
        <v>2100</v>
      </c>
      <c r="E86" s="15">
        <v>12</v>
      </c>
      <c r="F86" s="15">
        <v>13</v>
      </c>
      <c r="G86" s="15">
        <f t="shared" si="3"/>
        <v>161.53846153846155</v>
      </c>
    </row>
    <row r="87" spans="1:7" ht="20.149999999999999" customHeight="1" x14ac:dyDescent="0.35">
      <c r="A87" s="2">
        <f t="shared" si="4"/>
        <v>75</v>
      </c>
      <c r="B87" s="14">
        <v>75</v>
      </c>
      <c r="C87" s="12" t="s">
        <v>44</v>
      </c>
      <c r="D87" s="15">
        <v>2080</v>
      </c>
      <c r="E87" s="15">
        <v>11</v>
      </c>
      <c r="F87" s="15">
        <v>11</v>
      </c>
      <c r="G87" s="15">
        <f t="shared" si="3"/>
        <v>189.09090909090909</v>
      </c>
    </row>
    <row r="88" spans="1:7" ht="20.149999999999999" customHeight="1" x14ac:dyDescent="0.35">
      <c r="A88" s="2">
        <f t="shared" si="4"/>
        <v>76</v>
      </c>
      <c r="B88" s="14">
        <v>76</v>
      </c>
      <c r="C88" s="12" t="s">
        <v>118</v>
      </c>
      <c r="D88" s="15">
        <v>2080</v>
      </c>
      <c r="E88" s="15">
        <v>11</v>
      </c>
      <c r="F88" s="15">
        <v>11</v>
      </c>
      <c r="G88" s="15">
        <f t="shared" si="3"/>
        <v>189.09090909090909</v>
      </c>
    </row>
    <row r="89" spans="1:7" ht="20.149999999999999" customHeight="1" x14ac:dyDescent="0.35">
      <c r="A89" s="2">
        <f t="shared" si="4"/>
        <v>77</v>
      </c>
      <c r="B89" s="14">
        <v>77</v>
      </c>
      <c r="C89" s="12" t="s">
        <v>24</v>
      </c>
      <c r="D89" s="15">
        <v>2080</v>
      </c>
      <c r="E89" s="15">
        <v>10</v>
      </c>
      <c r="F89" s="15">
        <v>10</v>
      </c>
      <c r="G89" s="15">
        <f t="shared" si="3"/>
        <v>208</v>
      </c>
    </row>
    <row r="90" spans="1:7" ht="20.149999999999999" customHeight="1" x14ac:dyDescent="0.35">
      <c r="A90" s="2">
        <f t="shared" si="4"/>
        <v>78</v>
      </c>
      <c r="B90" s="14">
        <v>78</v>
      </c>
      <c r="C90" s="12" t="s">
        <v>368</v>
      </c>
      <c r="D90" s="15">
        <v>2070</v>
      </c>
      <c r="E90" s="15">
        <v>11</v>
      </c>
      <c r="F90" s="15">
        <v>11</v>
      </c>
      <c r="G90" s="15">
        <f t="shared" si="3"/>
        <v>188.18181818181819</v>
      </c>
    </row>
    <row r="91" spans="1:7" ht="20.149999999999999" customHeight="1" x14ac:dyDescent="0.35">
      <c r="A91" s="2">
        <f t="shared" si="4"/>
        <v>79</v>
      </c>
      <c r="B91" s="14">
        <v>79</v>
      </c>
      <c r="C91" s="12" t="s">
        <v>116</v>
      </c>
      <c r="D91" s="15">
        <v>2070</v>
      </c>
      <c r="E91" s="15">
        <v>11</v>
      </c>
      <c r="F91" s="15">
        <v>11</v>
      </c>
      <c r="G91" s="15">
        <f t="shared" si="3"/>
        <v>188.18181818181819</v>
      </c>
    </row>
    <row r="92" spans="1:7" ht="20.149999999999999" customHeight="1" x14ac:dyDescent="0.35">
      <c r="A92" s="2">
        <f t="shared" si="4"/>
        <v>80</v>
      </c>
      <c r="B92" s="14">
        <v>80</v>
      </c>
      <c r="C92" s="12" t="s">
        <v>183</v>
      </c>
      <c r="D92" s="15">
        <v>2060</v>
      </c>
      <c r="E92" s="15">
        <v>16</v>
      </c>
      <c r="F92" s="15">
        <v>16</v>
      </c>
      <c r="G92" s="15">
        <f t="shared" si="3"/>
        <v>128.75</v>
      </c>
    </row>
    <row r="93" spans="1:7" ht="20.149999999999999" customHeight="1" x14ac:dyDescent="0.35">
      <c r="A93" s="2">
        <f t="shared" si="4"/>
        <v>81</v>
      </c>
      <c r="B93" s="14">
        <v>81</v>
      </c>
      <c r="C93" s="12" t="s">
        <v>80</v>
      </c>
      <c r="D93" s="15">
        <v>2060</v>
      </c>
      <c r="E93" s="15">
        <v>11</v>
      </c>
      <c r="F93" s="15">
        <v>11</v>
      </c>
      <c r="G93" s="15">
        <f t="shared" si="3"/>
        <v>187.27272727272728</v>
      </c>
    </row>
    <row r="94" spans="1:7" ht="20.149999999999999" customHeight="1" x14ac:dyDescent="0.35">
      <c r="A94" s="2">
        <f t="shared" si="4"/>
        <v>82</v>
      </c>
      <c r="B94" s="14">
        <v>82</v>
      </c>
      <c r="C94" s="12" t="s">
        <v>89</v>
      </c>
      <c r="D94" s="15">
        <v>2060</v>
      </c>
      <c r="E94" s="15">
        <v>11</v>
      </c>
      <c r="F94" s="15">
        <v>11</v>
      </c>
      <c r="G94" s="15">
        <f t="shared" si="3"/>
        <v>187.27272727272728</v>
      </c>
    </row>
    <row r="95" spans="1:7" ht="20.149999999999999" customHeight="1" x14ac:dyDescent="0.35">
      <c r="A95" s="2">
        <f t="shared" si="4"/>
        <v>83</v>
      </c>
      <c r="B95" s="14">
        <v>83</v>
      </c>
      <c r="C95" s="12" t="s">
        <v>14</v>
      </c>
      <c r="D95" s="15">
        <v>2060</v>
      </c>
      <c r="E95" s="15">
        <v>10</v>
      </c>
      <c r="F95" s="15">
        <v>10</v>
      </c>
      <c r="G95" s="15">
        <f t="shared" si="3"/>
        <v>206</v>
      </c>
    </row>
    <row r="96" spans="1:7" ht="20.149999999999999" customHeight="1" x14ac:dyDescent="0.35">
      <c r="A96" s="2">
        <f t="shared" si="4"/>
        <v>84</v>
      </c>
      <c r="B96" s="14">
        <v>84</v>
      </c>
      <c r="C96" s="12" t="s">
        <v>21</v>
      </c>
      <c r="D96" s="15">
        <v>2050</v>
      </c>
      <c r="E96" s="15">
        <v>13</v>
      </c>
      <c r="F96" s="15">
        <v>13</v>
      </c>
      <c r="G96" s="15">
        <f t="shared" si="3"/>
        <v>157.69230769230768</v>
      </c>
    </row>
    <row r="97" spans="1:7" ht="20.149999999999999" customHeight="1" x14ac:dyDescent="0.35">
      <c r="A97" s="2">
        <f t="shared" si="4"/>
        <v>85</v>
      </c>
      <c r="B97" s="14">
        <v>85</v>
      </c>
      <c r="C97" s="12" t="s">
        <v>59</v>
      </c>
      <c r="D97" s="15">
        <v>2050</v>
      </c>
      <c r="E97" s="15">
        <v>12</v>
      </c>
      <c r="F97" s="15">
        <v>12</v>
      </c>
      <c r="G97" s="15">
        <f t="shared" si="3"/>
        <v>170.83333333333334</v>
      </c>
    </row>
    <row r="98" spans="1:7" ht="20.149999999999999" customHeight="1" x14ac:dyDescent="0.35">
      <c r="A98" s="2">
        <f t="shared" si="4"/>
        <v>86</v>
      </c>
      <c r="B98" s="14">
        <v>86</v>
      </c>
      <c r="C98" s="12" t="s">
        <v>184</v>
      </c>
      <c r="D98" s="15">
        <v>2040</v>
      </c>
      <c r="E98" s="15">
        <v>16</v>
      </c>
      <c r="F98" s="15">
        <v>16</v>
      </c>
      <c r="G98" s="15">
        <f t="shared" si="3"/>
        <v>127.5</v>
      </c>
    </row>
    <row r="99" spans="1:7" ht="20.149999999999999" customHeight="1" x14ac:dyDescent="0.35">
      <c r="A99" s="2">
        <f t="shared" si="4"/>
        <v>87</v>
      </c>
      <c r="B99" s="14">
        <v>87</v>
      </c>
      <c r="C99" s="12" t="s">
        <v>95</v>
      </c>
      <c r="D99" s="15">
        <v>2040</v>
      </c>
      <c r="E99" s="15">
        <v>14</v>
      </c>
      <c r="F99" s="15">
        <v>14</v>
      </c>
      <c r="G99" s="15">
        <f t="shared" si="3"/>
        <v>145.71428571428572</v>
      </c>
    </row>
    <row r="100" spans="1:7" ht="20.149999999999999" customHeight="1" x14ac:dyDescent="0.35">
      <c r="A100" s="2">
        <f t="shared" si="4"/>
        <v>88</v>
      </c>
      <c r="B100" s="14">
        <v>88</v>
      </c>
      <c r="C100" s="12" t="s">
        <v>370</v>
      </c>
      <c r="D100" s="15">
        <v>2040</v>
      </c>
      <c r="E100" s="15">
        <v>13</v>
      </c>
      <c r="F100" s="15">
        <v>13</v>
      </c>
      <c r="G100" s="15">
        <f t="shared" si="3"/>
        <v>156.92307692307693</v>
      </c>
    </row>
    <row r="101" spans="1:7" ht="20.149999999999999" customHeight="1" x14ac:dyDescent="0.35">
      <c r="A101" s="2">
        <f t="shared" si="4"/>
        <v>89</v>
      </c>
      <c r="B101" s="14">
        <v>89</v>
      </c>
      <c r="C101" s="12" t="s">
        <v>40</v>
      </c>
      <c r="D101" s="15">
        <v>2040</v>
      </c>
      <c r="E101" s="15">
        <v>12</v>
      </c>
      <c r="F101" s="15">
        <v>12</v>
      </c>
      <c r="G101" s="15">
        <f t="shared" si="3"/>
        <v>170</v>
      </c>
    </row>
    <row r="102" spans="1:7" ht="20.149999999999999" customHeight="1" x14ac:dyDescent="0.35">
      <c r="A102" s="2">
        <f t="shared" si="4"/>
        <v>90</v>
      </c>
      <c r="B102" s="14">
        <v>90</v>
      </c>
      <c r="C102" s="12" t="s">
        <v>25</v>
      </c>
      <c r="D102" s="15">
        <v>2040</v>
      </c>
      <c r="E102" s="15">
        <v>12</v>
      </c>
      <c r="F102" s="15">
        <v>12</v>
      </c>
      <c r="G102" s="15">
        <f t="shared" si="3"/>
        <v>170</v>
      </c>
    </row>
    <row r="103" spans="1:7" ht="20.149999999999999" customHeight="1" x14ac:dyDescent="0.35">
      <c r="A103" s="2">
        <f t="shared" si="4"/>
        <v>91</v>
      </c>
      <c r="B103" s="14">
        <v>91</v>
      </c>
      <c r="C103" s="12" t="s">
        <v>53</v>
      </c>
      <c r="D103" s="15">
        <v>2040</v>
      </c>
      <c r="E103" s="15">
        <v>12</v>
      </c>
      <c r="F103" s="15">
        <v>12</v>
      </c>
      <c r="G103" s="15">
        <f t="shared" si="3"/>
        <v>170</v>
      </c>
    </row>
    <row r="104" spans="1:7" ht="20.149999999999999" customHeight="1" x14ac:dyDescent="0.35">
      <c r="A104" s="2">
        <f t="shared" si="4"/>
        <v>92</v>
      </c>
      <c r="B104" s="14">
        <v>92</v>
      </c>
      <c r="C104" s="12" t="s">
        <v>185</v>
      </c>
      <c r="D104" s="15">
        <v>2040</v>
      </c>
      <c r="E104" s="15">
        <v>12</v>
      </c>
      <c r="F104" s="15">
        <v>12</v>
      </c>
      <c r="G104" s="15">
        <f t="shared" si="3"/>
        <v>170</v>
      </c>
    </row>
    <row r="105" spans="1:7" ht="20.149999999999999" customHeight="1" x14ac:dyDescent="0.35">
      <c r="A105" s="2">
        <f t="shared" si="4"/>
        <v>93</v>
      </c>
      <c r="B105" s="14">
        <v>93</v>
      </c>
      <c r="C105" s="12" t="s">
        <v>146</v>
      </c>
      <c r="D105" s="15">
        <v>2030</v>
      </c>
      <c r="E105" s="15">
        <v>16</v>
      </c>
      <c r="F105" s="15">
        <v>16</v>
      </c>
      <c r="G105" s="15">
        <f t="shared" si="3"/>
        <v>126.875</v>
      </c>
    </row>
    <row r="106" spans="1:7" ht="20.149999999999999" customHeight="1" x14ac:dyDescent="0.35">
      <c r="A106" s="2">
        <f t="shared" si="4"/>
        <v>94</v>
      </c>
      <c r="B106" s="14">
        <v>94</v>
      </c>
      <c r="C106" s="12" t="s">
        <v>50</v>
      </c>
      <c r="D106" s="15">
        <v>2030</v>
      </c>
      <c r="E106" s="15">
        <v>15</v>
      </c>
      <c r="F106" s="15">
        <v>15</v>
      </c>
      <c r="G106" s="15">
        <f t="shared" si="3"/>
        <v>135.33333333333334</v>
      </c>
    </row>
    <row r="107" spans="1:7" ht="20.149999999999999" customHeight="1" x14ac:dyDescent="0.35">
      <c r="A107" s="2">
        <f t="shared" si="4"/>
        <v>95</v>
      </c>
      <c r="B107" s="14">
        <v>95</v>
      </c>
      <c r="C107" s="12" t="s">
        <v>186</v>
      </c>
      <c r="D107" s="15">
        <v>2030</v>
      </c>
      <c r="E107" s="15">
        <v>13</v>
      </c>
      <c r="F107" s="15">
        <v>13</v>
      </c>
      <c r="G107" s="15">
        <f t="shared" si="3"/>
        <v>156.15384615384616</v>
      </c>
    </row>
    <row r="108" spans="1:7" ht="20.149999999999999" customHeight="1" x14ac:dyDescent="0.35">
      <c r="A108" s="2">
        <f t="shared" si="4"/>
        <v>96</v>
      </c>
      <c r="B108" s="14">
        <v>96</v>
      </c>
      <c r="C108" s="12" t="s">
        <v>205</v>
      </c>
      <c r="D108" s="15">
        <v>2030</v>
      </c>
      <c r="E108" s="15">
        <v>13</v>
      </c>
      <c r="F108" s="15">
        <v>13</v>
      </c>
      <c r="G108" s="15">
        <f t="shared" si="3"/>
        <v>156.15384615384616</v>
      </c>
    </row>
    <row r="109" spans="1:7" ht="20.149999999999999" customHeight="1" x14ac:dyDescent="0.35">
      <c r="A109" s="2">
        <f t="shared" si="4"/>
        <v>97</v>
      </c>
      <c r="B109" s="14">
        <v>97</v>
      </c>
      <c r="C109" s="12" t="s">
        <v>37</v>
      </c>
      <c r="D109" s="15">
        <v>2030</v>
      </c>
      <c r="E109" s="15">
        <v>13</v>
      </c>
      <c r="F109" s="15">
        <v>13</v>
      </c>
      <c r="G109" s="15">
        <f t="shared" ref="G109:G140" si="5">IFERROR(D109/F109,0)</f>
        <v>156.15384615384616</v>
      </c>
    </row>
    <row r="110" spans="1:7" ht="20.149999999999999" customHeight="1" x14ac:dyDescent="0.35">
      <c r="A110" s="2">
        <f t="shared" si="4"/>
        <v>98</v>
      </c>
      <c r="B110" s="14">
        <v>98</v>
      </c>
      <c r="C110" s="12" t="s">
        <v>206</v>
      </c>
      <c r="D110" s="15">
        <v>2020</v>
      </c>
      <c r="E110" s="15">
        <v>15</v>
      </c>
      <c r="F110" s="15">
        <v>15</v>
      </c>
      <c r="G110" s="15">
        <f t="shared" si="5"/>
        <v>134.66666666666666</v>
      </c>
    </row>
    <row r="111" spans="1:7" ht="20.149999999999999" customHeight="1" x14ac:dyDescent="0.35">
      <c r="A111" s="2">
        <f t="shared" si="4"/>
        <v>99</v>
      </c>
      <c r="B111" s="14">
        <v>99</v>
      </c>
      <c r="C111" s="12" t="s">
        <v>187</v>
      </c>
      <c r="D111" s="15">
        <v>2020</v>
      </c>
      <c r="E111" s="15">
        <v>13</v>
      </c>
      <c r="F111" s="15">
        <v>13</v>
      </c>
      <c r="G111" s="15">
        <f t="shared" si="5"/>
        <v>155.38461538461539</v>
      </c>
    </row>
    <row r="112" spans="1:7" ht="20.149999999999999" customHeight="1" x14ac:dyDescent="0.35">
      <c r="A112" s="2">
        <f t="shared" si="4"/>
        <v>100</v>
      </c>
      <c r="B112" s="14">
        <v>100</v>
      </c>
      <c r="C112" s="12" t="s">
        <v>96</v>
      </c>
      <c r="D112" s="15">
        <v>2020</v>
      </c>
      <c r="E112" s="15">
        <v>13</v>
      </c>
      <c r="F112" s="15">
        <v>13</v>
      </c>
      <c r="G112" s="15">
        <f t="shared" si="5"/>
        <v>155.38461538461539</v>
      </c>
    </row>
    <row r="113" spans="1:7" ht="20.149999999999999" customHeight="1" x14ac:dyDescent="0.35">
      <c r="A113" s="2">
        <f t="shared" si="4"/>
        <v>101</v>
      </c>
      <c r="B113" s="14">
        <v>101</v>
      </c>
      <c r="C113" s="12" t="s">
        <v>12</v>
      </c>
      <c r="D113" s="15">
        <v>2020</v>
      </c>
      <c r="E113" s="15">
        <v>12</v>
      </c>
      <c r="F113" s="15">
        <v>12</v>
      </c>
      <c r="G113" s="15">
        <f t="shared" si="5"/>
        <v>168.33333333333334</v>
      </c>
    </row>
    <row r="114" spans="1:7" ht="20.149999999999999" customHeight="1" x14ac:dyDescent="0.35">
      <c r="A114" s="2">
        <f t="shared" si="4"/>
        <v>102</v>
      </c>
      <c r="B114" s="14">
        <v>102</v>
      </c>
      <c r="C114" s="12" t="s">
        <v>144</v>
      </c>
      <c r="D114" s="15">
        <v>2020</v>
      </c>
      <c r="E114" s="15">
        <v>12</v>
      </c>
      <c r="F114" s="15">
        <v>12</v>
      </c>
      <c r="G114" s="15">
        <f t="shared" si="5"/>
        <v>168.33333333333334</v>
      </c>
    </row>
    <row r="115" spans="1:7" ht="20.149999999999999" customHeight="1" x14ac:dyDescent="0.35">
      <c r="A115" s="2">
        <f t="shared" si="4"/>
        <v>103</v>
      </c>
      <c r="B115" s="14">
        <v>103</v>
      </c>
      <c r="C115" s="12" t="s">
        <v>217</v>
      </c>
      <c r="D115" s="15">
        <v>2020</v>
      </c>
      <c r="E115" s="15">
        <v>11</v>
      </c>
      <c r="F115" s="15">
        <v>11</v>
      </c>
      <c r="G115" s="15">
        <f t="shared" si="5"/>
        <v>183.63636363636363</v>
      </c>
    </row>
    <row r="116" spans="1:7" ht="20.149999999999999" customHeight="1" x14ac:dyDescent="0.35">
      <c r="A116" s="2">
        <f t="shared" si="4"/>
        <v>104</v>
      </c>
      <c r="B116" s="14">
        <v>104</v>
      </c>
      <c r="C116" s="12" t="s">
        <v>190</v>
      </c>
      <c r="D116" s="15">
        <v>2020</v>
      </c>
      <c r="E116" s="15">
        <v>10</v>
      </c>
      <c r="F116" s="15">
        <v>10</v>
      </c>
      <c r="G116" s="15">
        <f t="shared" si="5"/>
        <v>202</v>
      </c>
    </row>
    <row r="117" spans="1:7" ht="20.149999999999999" customHeight="1" x14ac:dyDescent="0.35">
      <c r="A117" s="2">
        <f t="shared" si="4"/>
        <v>105</v>
      </c>
      <c r="B117" s="14">
        <v>105</v>
      </c>
      <c r="C117" s="12" t="s">
        <v>191</v>
      </c>
      <c r="D117" s="15">
        <v>2010</v>
      </c>
      <c r="E117" s="15">
        <v>13</v>
      </c>
      <c r="F117" s="15">
        <v>13</v>
      </c>
      <c r="G117" s="15">
        <f t="shared" si="5"/>
        <v>154.61538461538461</v>
      </c>
    </row>
    <row r="118" spans="1:7" ht="20.149999999999999" customHeight="1" x14ac:dyDescent="0.35">
      <c r="A118" s="2">
        <f t="shared" si="4"/>
        <v>106</v>
      </c>
      <c r="B118" s="14">
        <v>106</v>
      </c>
      <c r="C118" s="12" t="s">
        <v>48</v>
      </c>
      <c r="D118" s="15">
        <v>2010</v>
      </c>
      <c r="E118" s="15">
        <v>13</v>
      </c>
      <c r="F118" s="15">
        <v>13</v>
      </c>
      <c r="G118" s="15">
        <f t="shared" si="5"/>
        <v>154.61538461538461</v>
      </c>
    </row>
    <row r="119" spans="1:7" ht="20.149999999999999" customHeight="1" x14ac:dyDescent="0.35">
      <c r="A119" s="2">
        <f t="shared" si="4"/>
        <v>107</v>
      </c>
      <c r="B119" s="14">
        <v>107</v>
      </c>
      <c r="C119" s="12" t="s">
        <v>188</v>
      </c>
      <c r="D119" s="15">
        <v>2010</v>
      </c>
      <c r="E119" s="15">
        <v>13</v>
      </c>
      <c r="F119" s="15">
        <v>13</v>
      </c>
      <c r="G119" s="15">
        <f t="shared" si="5"/>
        <v>154.61538461538461</v>
      </c>
    </row>
    <row r="120" spans="1:7" ht="20.149999999999999" customHeight="1" x14ac:dyDescent="0.35">
      <c r="A120" s="2">
        <f t="shared" si="4"/>
        <v>108</v>
      </c>
      <c r="B120" s="14">
        <v>108</v>
      </c>
      <c r="C120" s="12" t="s">
        <v>192</v>
      </c>
      <c r="D120" s="15">
        <v>2010</v>
      </c>
      <c r="E120" s="15">
        <v>12</v>
      </c>
      <c r="F120" s="15">
        <v>12</v>
      </c>
      <c r="G120" s="15">
        <f t="shared" si="5"/>
        <v>167.5</v>
      </c>
    </row>
    <row r="121" spans="1:7" ht="20.149999999999999" customHeight="1" x14ac:dyDescent="0.35">
      <c r="A121" s="2">
        <f t="shared" si="4"/>
        <v>109</v>
      </c>
      <c r="B121" s="14">
        <v>109</v>
      </c>
      <c r="C121" s="12" t="s">
        <v>218</v>
      </c>
      <c r="D121" s="15">
        <v>2010</v>
      </c>
      <c r="E121" s="15">
        <v>11</v>
      </c>
      <c r="F121" s="15">
        <v>11</v>
      </c>
      <c r="G121" s="15">
        <f t="shared" si="5"/>
        <v>182.72727272727272</v>
      </c>
    </row>
    <row r="122" spans="1:7" ht="20.149999999999999" customHeight="1" x14ac:dyDescent="0.35">
      <c r="A122" s="2">
        <f t="shared" si="4"/>
        <v>110</v>
      </c>
      <c r="B122" s="14">
        <v>110</v>
      </c>
      <c r="C122" s="12" t="s">
        <v>150</v>
      </c>
      <c r="D122" s="15">
        <v>2010</v>
      </c>
      <c r="E122" s="15">
        <v>11</v>
      </c>
      <c r="F122" s="15">
        <v>11</v>
      </c>
      <c r="G122" s="15">
        <f t="shared" si="5"/>
        <v>182.72727272727272</v>
      </c>
    </row>
    <row r="123" spans="1:7" ht="20.149999999999999" customHeight="1" x14ac:dyDescent="0.35">
      <c r="A123" s="2">
        <f t="shared" si="4"/>
        <v>111</v>
      </c>
      <c r="B123" s="14">
        <v>111</v>
      </c>
      <c r="C123" s="12" t="s">
        <v>143</v>
      </c>
      <c r="D123" s="15">
        <v>2010</v>
      </c>
      <c r="E123" s="15">
        <v>11</v>
      </c>
      <c r="F123" s="15">
        <v>11</v>
      </c>
      <c r="G123" s="15">
        <f t="shared" si="5"/>
        <v>182.72727272727272</v>
      </c>
    </row>
    <row r="124" spans="1:7" ht="20.149999999999999" customHeight="1" x14ac:dyDescent="0.35">
      <c r="A124" s="2">
        <f t="shared" si="4"/>
        <v>112</v>
      </c>
      <c r="B124" s="14">
        <v>112</v>
      </c>
      <c r="C124" s="12" t="s">
        <v>189</v>
      </c>
      <c r="D124" s="15">
        <v>2010</v>
      </c>
      <c r="E124" s="15">
        <v>11</v>
      </c>
      <c r="F124" s="15">
        <v>11</v>
      </c>
      <c r="G124" s="15">
        <f t="shared" si="5"/>
        <v>182.72727272727272</v>
      </c>
    </row>
    <row r="125" spans="1:7" ht="20.149999999999999" customHeight="1" x14ac:dyDescent="0.35">
      <c r="A125" s="2">
        <f t="shared" si="4"/>
        <v>113</v>
      </c>
      <c r="B125" s="14">
        <v>113</v>
      </c>
      <c r="C125" s="12" t="s">
        <v>98</v>
      </c>
      <c r="D125" s="15">
        <v>2000</v>
      </c>
      <c r="E125" s="15">
        <v>16</v>
      </c>
      <c r="F125" s="15">
        <v>16</v>
      </c>
      <c r="G125" s="15">
        <f t="shared" si="5"/>
        <v>125</v>
      </c>
    </row>
    <row r="126" spans="1:7" ht="20.149999999999999" customHeight="1" x14ac:dyDescent="0.35">
      <c r="A126" s="2">
        <f t="shared" si="4"/>
        <v>114</v>
      </c>
      <c r="B126" s="14">
        <v>114</v>
      </c>
      <c r="C126" s="12" t="s">
        <v>34</v>
      </c>
      <c r="D126" s="15">
        <v>2000</v>
      </c>
      <c r="E126" s="15">
        <v>14</v>
      </c>
      <c r="F126" s="15">
        <v>14</v>
      </c>
      <c r="G126" s="15">
        <f t="shared" si="5"/>
        <v>142.85714285714286</v>
      </c>
    </row>
    <row r="127" spans="1:7" ht="20.149999999999999" customHeight="1" x14ac:dyDescent="0.35">
      <c r="A127" s="2">
        <f t="shared" si="4"/>
        <v>115</v>
      </c>
      <c r="B127" s="14">
        <v>115</v>
      </c>
      <c r="C127" s="12" t="s">
        <v>207</v>
      </c>
      <c r="D127" s="15">
        <v>2000</v>
      </c>
      <c r="E127" s="15">
        <v>14</v>
      </c>
      <c r="F127" s="15">
        <v>14</v>
      </c>
      <c r="G127" s="15">
        <f t="shared" si="5"/>
        <v>142.85714285714286</v>
      </c>
    </row>
    <row r="128" spans="1:7" ht="20.149999999999999" customHeight="1" x14ac:dyDescent="0.35">
      <c r="A128" s="2">
        <f t="shared" si="4"/>
        <v>116</v>
      </c>
      <c r="B128" s="14">
        <v>116</v>
      </c>
      <c r="C128" s="12" t="s">
        <v>78</v>
      </c>
      <c r="D128" s="15">
        <v>2000</v>
      </c>
      <c r="E128" s="15">
        <v>13</v>
      </c>
      <c r="F128" s="15">
        <v>13</v>
      </c>
      <c r="G128" s="15">
        <f t="shared" si="5"/>
        <v>153.84615384615384</v>
      </c>
    </row>
    <row r="129" spans="1:7" ht="20.149999999999999" customHeight="1" x14ac:dyDescent="0.35">
      <c r="A129" s="2">
        <f t="shared" si="4"/>
        <v>117</v>
      </c>
      <c r="B129" s="14">
        <v>117</v>
      </c>
      <c r="C129" s="12" t="s">
        <v>111</v>
      </c>
      <c r="D129" s="15">
        <v>2000</v>
      </c>
      <c r="E129" s="15">
        <v>12</v>
      </c>
      <c r="F129" s="15">
        <v>12</v>
      </c>
      <c r="G129" s="15">
        <f t="shared" si="5"/>
        <v>166.66666666666666</v>
      </c>
    </row>
    <row r="130" spans="1:7" ht="20.149999999999999" customHeight="1" x14ac:dyDescent="0.35">
      <c r="A130" s="2">
        <f t="shared" si="4"/>
        <v>118</v>
      </c>
      <c r="B130" s="14">
        <v>118</v>
      </c>
      <c r="C130" s="12" t="s">
        <v>110</v>
      </c>
      <c r="D130" s="15">
        <v>2000</v>
      </c>
      <c r="E130" s="15">
        <v>12</v>
      </c>
      <c r="F130" s="15">
        <v>12</v>
      </c>
      <c r="G130" s="15">
        <f t="shared" si="5"/>
        <v>166.66666666666666</v>
      </c>
    </row>
    <row r="131" spans="1:7" ht="20.149999999999999" customHeight="1" x14ac:dyDescent="0.35">
      <c r="A131" s="2">
        <f t="shared" si="4"/>
        <v>119</v>
      </c>
      <c r="B131" s="14">
        <v>119</v>
      </c>
      <c r="C131" s="12" t="s">
        <v>112</v>
      </c>
      <c r="D131" s="15">
        <v>2000</v>
      </c>
      <c r="E131" s="15">
        <v>11</v>
      </c>
      <c r="F131" s="15">
        <v>11</v>
      </c>
      <c r="G131" s="15">
        <f t="shared" si="5"/>
        <v>181.81818181818181</v>
      </c>
    </row>
    <row r="132" spans="1:7" ht="20.149999999999999" customHeight="1" x14ac:dyDescent="0.35">
      <c r="A132" s="2">
        <f t="shared" si="4"/>
        <v>120</v>
      </c>
      <c r="B132" s="14">
        <v>120</v>
      </c>
      <c r="C132" s="12" t="s">
        <v>209</v>
      </c>
      <c r="D132" s="15">
        <v>2000</v>
      </c>
      <c r="E132" s="15">
        <v>11</v>
      </c>
      <c r="F132" s="15">
        <v>11</v>
      </c>
      <c r="G132" s="15">
        <f t="shared" si="5"/>
        <v>181.81818181818181</v>
      </c>
    </row>
    <row r="133" spans="1:7" ht="20.149999999999999" customHeight="1" x14ac:dyDescent="0.35">
      <c r="A133" s="2">
        <f t="shared" si="4"/>
        <v>121</v>
      </c>
      <c r="B133" s="14">
        <v>121</v>
      </c>
      <c r="C133" s="12" t="s">
        <v>193</v>
      </c>
      <c r="D133" s="15">
        <v>1870</v>
      </c>
      <c r="E133" s="15">
        <v>16</v>
      </c>
      <c r="F133" s="15">
        <v>16</v>
      </c>
      <c r="G133" s="15">
        <f t="shared" si="5"/>
        <v>116.875</v>
      </c>
    </row>
    <row r="134" spans="1:7" ht="20.149999999999999" customHeight="1" x14ac:dyDescent="0.35">
      <c r="A134" s="2">
        <f t="shared" si="4"/>
        <v>122</v>
      </c>
      <c r="B134" s="14">
        <v>122</v>
      </c>
      <c r="C134" s="12" t="s">
        <v>194</v>
      </c>
      <c r="D134" s="15">
        <v>1740</v>
      </c>
      <c r="E134" s="15">
        <v>9</v>
      </c>
      <c r="F134" s="15">
        <v>9</v>
      </c>
      <c r="G134" s="15">
        <f t="shared" si="5"/>
        <v>193.33333333333334</v>
      </c>
    </row>
    <row r="135" spans="1:7" ht="20.149999999999999" customHeight="1" x14ac:dyDescent="0.35">
      <c r="A135" s="2">
        <f t="shared" si="4"/>
        <v>123</v>
      </c>
      <c r="B135" s="14">
        <v>123</v>
      </c>
      <c r="C135" s="12" t="s">
        <v>61</v>
      </c>
      <c r="D135" s="15">
        <v>1720</v>
      </c>
      <c r="E135" s="15">
        <v>10</v>
      </c>
      <c r="F135" s="15">
        <v>10</v>
      </c>
      <c r="G135" s="15">
        <f t="shared" si="5"/>
        <v>172</v>
      </c>
    </row>
    <row r="136" spans="1:7" ht="20.149999999999999" customHeight="1" x14ac:dyDescent="0.35">
      <c r="A136" s="2">
        <f t="shared" si="4"/>
        <v>124</v>
      </c>
      <c r="B136" s="14">
        <v>124</v>
      </c>
      <c r="C136" s="12" t="s">
        <v>195</v>
      </c>
      <c r="D136" s="15">
        <v>1620</v>
      </c>
      <c r="E136" s="15">
        <v>13</v>
      </c>
      <c r="F136" s="15">
        <v>13</v>
      </c>
      <c r="G136" s="15">
        <f t="shared" si="5"/>
        <v>124.61538461538461</v>
      </c>
    </row>
    <row r="137" spans="1:7" ht="20.149999999999999" customHeight="1" x14ac:dyDescent="0.35">
      <c r="A137" s="2">
        <f t="shared" si="4"/>
        <v>125</v>
      </c>
      <c r="B137" s="14">
        <v>125</v>
      </c>
      <c r="C137" s="12" t="s">
        <v>79</v>
      </c>
      <c r="D137" s="15">
        <v>1620</v>
      </c>
      <c r="E137" s="15">
        <v>8</v>
      </c>
      <c r="F137" s="15">
        <v>8</v>
      </c>
      <c r="G137" s="15">
        <f t="shared" si="5"/>
        <v>202.5</v>
      </c>
    </row>
    <row r="138" spans="1:7" ht="20.149999999999999" customHeight="1" x14ac:dyDescent="0.35">
      <c r="A138" s="2">
        <f t="shared" si="4"/>
        <v>126</v>
      </c>
      <c r="B138" s="14">
        <v>126</v>
      </c>
      <c r="C138" s="12" t="s">
        <v>140</v>
      </c>
      <c r="D138" s="15">
        <v>1600</v>
      </c>
      <c r="E138" s="15">
        <v>13</v>
      </c>
      <c r="F138" s="15">
        <v>14</v>
      </c>
      <c r="G138" s="15">
        <f t="shared" si="5"/>
        <v>114.28571428571429</v>
      </c>
    </row>
    <row r="139" spans="1:7" ht="20.149999999999999" customHeight="1" x14ac:dyDescent="0.35">
      <c r="A139" s="2">
        <f t="shared" si="4"/>
        <v>127</v>
      </c>
      <c r="B139" s="14">
        <v>127</v>
      </c>
      <c r="C139" s="12" t="s">
        <v>208</v>
      </c>
      <c r="D139" s="15">
        <v>1260</v>
      </c>
      <c r="E139" s="15">
        <v>7</v>
      </c>
      <c r="F139" s="15">
        <v>7</v>
      </c>
      <c r="G139" s="15">
        <f t="shared" si="5"/>
        <v>180</v>
      </c>
    </row>
    <row r="140" spans="1:7" ht="20.149999999999999" customHeight="1" x14ac:dyDescent="0.35">
      <c r="A140" s="2">
        <f t="shared" si="4"/>
        <v>128</v>
      </c>
      <c r="B140" s="14">
        <v>128</v>
      </c>
      <c r="C140" s="12" t="s">
        <v>81</v>
      </c>
      <c r="D140" s="15">
        <v>1260</v>
      </c>
      <c r="E140" s="15">
        <v>7</v>
      </c>
      <c r="F140" s="15">
        <v>7</v>
      </c>
      <c r="G140" s="15">
        <f t="shared" si="5"/>
        <v>180</v>
      </c>
    </row>
    <row r="141" spans="1:7" ht="20.149999999999999" customHeight="1" x14ac:dyDescent="0.35">
      <c r="A141" s="2">
        <f t="shared" si="4"/>
        <v>129</v>
      </c>
      <c r="B141" s="14">
        <v>129</v>
      </c>
      <c r="C141" s="12" t="s">
        <v>90</v>
      </c>
      <c r="D141" s="15">
        <v>1240</v>
      </c>
      <c r="E141" s="15">
        <v>9</v>
      </c>
      <c r="F141" s="15">
        <v>9</v>
      </c>
      <c r="G141" s="15">
        <f t="shared" ref="G141:G148" si="6">IFERROR(D141/F141,0)</f>
        <v>137.77777777777777</v>
      </c>
    </row>
    <row r="142" spans="1:7" ht="20.149999999999999" customHeight="1" x14ac:dyDescent="0.35">
      <c r="A142" s="2">
        <f t="shared" ref="A142:A151" si="7">ROW(A130)</f>
        <v>130</v>
      </c>
      <c r="B142" s="14">
        <v>130</v>
      </c>
      <c r="C142" s="12" t="s">
        <v>196</v>
      </c>
      <c r="D142" s="15">
        <v>1240</v>
      </c>
      <c r="E142" s="15">
        <v>7</v>
      </c>
      <c r="F142" s="15">
        <v>7</v>
      </c>
      <c r="G142" s="15">
        <f t="shared" si="6"/>
        <v>177.14285714285714</v>
      </c>
    </row>
    <row r="143" spans="1:7" ht="20.149999999999999" customHeight="1" x14ac:dyDescent="0.35">
      <c r="A143" s="2">
        <f t="shared" si="7"/>
        <v>131</v>
      </c>
      <c r="B143" s="14">
        <v>131</v>
      </c>
      <c r="C143" s="12" t="s">
        <v>93</v>
      </c>
      <c r="D143" s="15">
        <v>1210</v>
      </c>
      <c r="E143" s="15">
        <v>10</v>
      </c>
      <c r="F143" s="15">
        <v>10</v>
      </c>
      <c r="G143" s="15">
        <f t="shared" si="6"/>
        <v>121</v>
      </c>
    </row>
    <row r="144" spans="1:7" ht="20.149999999999999" customHeight="1" x14ac:dyDescent="0.35">
      <c r="A144" s="2">
        <f t="shared" si="7"/>
        <v>132</v>
      </c>
      <c r="B144" s="14">
        <v>132</v>
      </c>
      <c r="C144" s="12" t="s">
        <v>197</v>
      </c>
      <c r="D144" s="15">
        <v>1000</v>
      </c>
      <c r="E144" s="15">
        <v>8</v>
      </c>
      <c r="F144" s="15">
        <v>9</v>
      </c>
      <c r="G144" s="15">
        <f t="shared" si="6"/>
        <v>111.11111111111111</v>
      </c>
    </row>
    <row r="145" spans="1:7" ht="20.149999999999999" customHeight="1" x14ac:dyDescent="0.35">
      <c r="A145" s="2">
        <f t="shared" si="7"/>
        <v>133</v>
      </c>
      <c r="B145" s="14">
        <v>133</v>
      </c>
      <c r="C145" s="12" t="s">
        <v>198</v>
      </c>
      <c r="D145" s="15">
        <v>920</v>
      </c>
      <c r="E145" s="15">
        <v>10</v>
      </c>
      <c r="F145" s="15">
        <v>10</v>
      </c>
      <c r="G145" s="15">
        <f t="shared" si="6"/>
        <v>92</v>
      </c>
    </row>
    <row r="146" spans="1:7" ht="20.149999999999999" customHeight="1" x14ac:dyDescent="0.35">
      <c r="A146" s="2">
        <f t="shared" si="7"/>
        <v>134</v>
      </c>
      <c r="B146" s="14">
        <v>134</v>
      </c>
      <c r="C146" s="12" t="s">
        <v>91</v>
      </c>
      <c r="D146" s="15">
        <v>800</v>
      </c>
      <c r="E146" s="15">
        <v>5</v>
      </c>
      <c r="F146" s="15">
        <v>5</v>
      </c>
      <c r="G146" s="15">
        <f t="shared" si="6"/>
        <v>160</v>
      </c>
    </row>
    <row r="147" spans="1:7" ht="20.149999999999999" customHeight="1" x14ac:dyDescent="0.35">
      <c r="A147" s="2">
        <f t="shared" si="7"/>
        <v>135</v>
      </c>
      <c r="B147" s="14">
        <v>135</v>
      </c>
      <c r="C147" s="12" t="s">
        <v>97</v>
      </c>
      <c r="D147" s="15">
        <v>800</v>
      </c>
      <c r="E147" s="15">
        <v>5</v>
      </c>
      <c r="F147" s="15">
        <v>5</v>
      </c>
      <c r="G147" s="15">
        <f t="shared" si="6"/>
        <v>160</v>
      </c>
    </row>
    <row r="148" spans="1:7" ht="20.149999999999999" customHeight="1" x14ac:dyDescent="0.35">
      <c r="A148" s="2">
        <f t="shared" si="7"/>
        <v>136</v>
      </c>
      <c r="B148" s="14">
        <v>136</v>
      </c>
      <c r="C148" s="12" t="s">
        <v>199</v>
      </c>
      <c r="D148" s="15">
        <v>90</v>
      </c>
      <c r="E148" s="15">
        <v>1</v>
      </c>
      <c r="F148" s="15">
        <v>1</v>
      </c>
      <c r="G148" s="15">
        <f t="shared" si="6"/>
        <v>90</v>
      </c>
    </row>
    <row r="149" spans="1:7" ht="20.149999999999999" customHeight="1" x14ac:dyDescent="0.35">
      <c r="A149" s="2">
        <f t="shared" si="7"/>
        <v>137</v>
      </c>
      <c r="B149" s="14">
        <v>137</v>
      </c>
      <c r="C149" s="12" t="s">
        <v>200</v>
      </c>
      <c r="D149" s="15">
        <v>0</v>
      </c>
      <c r="E149" s="15">
        <v>0</v>
      </c>
      <c r="F149" s="15">
        <v>0</v>
      </c>
      <c r="G149" s="15">
        <v>0</v>
      </c>
    </row>
    <row r="150" spans="1:7" ht="20.149999999999999" customHeight="1" x14ac:dyDescent="0.35">
      <c r="A150" s="2">
        <f t="shared" si="7"/>
        <v>138</v>
      </c>
      <c r="B150" s="14">
        <v>138</v>
      </c>
      <c r="C150" s="12" t="s">
        <v>201</v>
      </c>
      <c r="D150" s="15">
        <v>0</v>
      </c>
      <c r="E150" s="15">
        <v>0</v>
      </c>
      <c r="F150" s="15">
        <v>0</v>
      </c>
      <c r="G150" s="15">
        <f>IFERROR(D150/F150,0)</f>
        <v>0</v>
      </c>
    </row>
    <row r="151" spans="1:7" ht="20.149999999999999" customHeight="1" x14ac:dyDescent="0.35">
      <c r="A151" s="2">
        <f t="shared" si="7"/>
        <v>139</v>
      </c>
      <c r="B151" s="14">
        <v>139</v>
      </c>
      <c r="C151" s="12" t="s">
        <v>202</v>
      </c>
      <c r="D151" s="15">
        <v>0</v>
      </c>
      <c r="E151" s="15">
        <v>0</v>
      </c>
      <c r="F151" s="15">
        <v>0</v>
      </c>
      <c r="G151" s="15">
        <f>IFERROR(D151/F151,0)</f>
        <v>0</v>
      </c>
    </row>
    <row r="152" spans="1:7" ht="20.149999999999999" customHeight="1" x14ac:dyDescent="0.35">
      <c r="B152" s="12" t="s">
        <v>131</v>
      </c>
      <c r="C152" s="12"/>
      <c r="D152" s="15">
        <f>SUBTOTAL(109,AllianceMobilization202602[Points
reached])</f>
        <v>313350</v>
      </c>
      <c r="E152" s="15">
        <f>SUBTOTAL(109,AllianceMobilization202602[Quests
started])</f>
        <v>1830</v>
      </c>
      <c r="F152" s="15">
        <f>SUBTOTAL(109,AllianceMobilization202602[Quests
completed])</f>
        <v>1835</v>
      </c>
      <c r="G152" s="16"/>
    </row>
    <row r="153" spans="1:7" ht="20.149999999999999" customHeight="1" x14ac:dyDescent="0.35">
      <c r="B153" s="5" t="s">
        <v>132</v>
      </c>
      <c r="C153" s="5"/>
      <c r="D153" s="6">
        <f>AVERAGE(D13:D151)</f>
        <v>2254.31654676259</v>
      </c>
      <c r="E153" s="6">
        <f>AVERAGE(E13:E151)</f>
        <v>13.16546762589928</v>
      </c>
      <c r="F153" s="6">
        <f>AVERAGE(F13:F151)</f>
        <v>13.201438848920864</v>
      </c>
      <c r="G153" s="6">
        <f>AVERAGE(G13:G151)</f>
        <v>166.43983632500596</v>
      </c>
    </row>
  </sheetData>
  <mergeCells count="7">
    <mergeCell ref="B3:C3"/>
    <mergeCell ref="B10:C10"/>
    <mergeCell ref="B4:C4"/>
    <mergeCell ref="B5:C5"/>
    <mergeCell ref="B6:C6"/>
    <mergeCell ref="B7:C7"/>
    <mergeCell ref="B9:C9"/>
  </mergeCells>
  <conditionalFormatting sqref="D13:D151">
    <cfRule type="cellIs" dxfId="17" priority="1" operator="lessThan">
      <formula>$D$10</formula>
    </cfRule>
    <cfRule type="cellIs" dxfId="16" priority="2" operator="greaterThan">
      <formula>$D$10</formula>
    </cfRule>
    <cfRule type="cellIs" dxfId="15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scale="72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CA3D-A845-4034-BDB0-6E9506EE66D2}">
  <sheetPr>
    <pageSetUpPr fitToPage="1"/>
  </sheetPr>
  <dimension ref="A1:H146"/>
  <sheetViews>
    <sheetView topLeftCell="A41" zoomScaleNormal="100" workbookViewId="0">
      <selection activeCell="C61" sqref="C61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8" ht="24" customHeight="1" x14ac:dyDescent="0.35">
      <c r="B1" s="9" t="s">
        <v>237</v>
      </c>
      <c r="C1" s="10"/>
      <c r="D1" s="10"/>
    </row>
    <row r="2" spans="1:8" ht="20.149999999999999" customHeight="1" x14ac:dyDescent="0.35">
      <c r="B2" s="10"/>
      <c r="C2" s="10"/>
      <c r="D2" s="10"/>
    </row>
    <row r="3" spans="1:8" ht="20.149999999999999" customHeight="1" x14ac:dyDescent="0.35">
      <c r="B3" s="20" t="s">
        <v>236</v>
      </c>
      <c r="C3" s="20"/>
      <c r="D3" s="19">
        <v>3662</v>
      </c>
    </row>
    <row r="4" spans="1:8" ht="20.149999999999999" customHeight="1" x14ac:dyDescent="0.35">
      <c r="B4" s="20" t="s">
        <v>0</v>
      </c>
      <c r="C4" s="20"/>
      <c r="D4" s="10" t="s">
        <v>212</v>
      </c>
    </row>
    <row r="5" spans="1:8" ht="20.149999999999999" customHeight="1" x14ac:dyDescent="0.35">
      <c r="B5" s="20" t="s">
        <v>1</v>
      </c>
      <c r="C5" s="20"/>
      <c r="D5" s="10" t="s">
        <v>211</v>
      </c>
    </row>
    <row r="6" spans="1:8" ht="20.149999999999999" customHeight="1" x14ac:dyDescent="0.35">
      <c r="B6" s="20" t="s">
        <v>8</v>
      </c>
      <c r="C6" s="20"/>
      <c r="D6" s="11">
        <v>286650</v>
      </c>
    </row>
    <row r="7" spans="1:8" ht="20.149999999999999" customHeight="1" x14ac:dyDescent="0.35">
      <c r="B7" s="20" t="s">
        <v>6</v>
      </c>
      <c r="C7" s="20"/>
      <c r="D7" s="11" t="s">
        <v>7</v>
      </c>
      <c r="H7" s="19"/>
    </row>
    <row r="8" spans="1:8" ht="20.149999999999999" customHeight="1" x14ac:dyDescent="0.35">
      <c r="B8" s="3"/>
      <c r="C8" s="3" t="s">
        <v>210</v>
      </c>
      <c r="D8" s="11">
        <v>18</v>
      </c>
    </row>
    <row r="9" spans="1:8" ht="20.149999999999999" customHeight="1" x14ac:dyDescent="0.35">
      <c r="B9" s="20" t="s">
        <v>4</v>
      </c>
      <c r="C9" s="20"/>
      <c r="D9" s="10" t="s">
        <v>154</v>
      </c>
    </row>
    <row r="10" spans="1:8" ht="20.149999999999999" customHeight="1" x14ac:dyDescent="0.35">
      <c r="B10" s="20" t="s">
        <v>151</v>
      </c>
      <c r="C10" s="20"/>
      <c r="D10" s="11">
        <v>1800</v>
      </c>
    </row>
    <row r="11" spans="1:8" ht="20.149999999999999" customHeight="1" x14ac:dyDescent="0.35"/>
    <row r="12" spans="1:8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8" ht="20.149999999999999" customHeight="1" x14ac:dyDescent="0.35">
      <c r="A13" s="2">
        <f>ROW(A1)</f>
        <v>1</v>
      </c>
      <c r="B13" s="14">
        <v>1</v>
      </c>
      <c r="C13" s="12" t="s">
        <v>213</v>
      </c>
      <c r="D13" s="15">
        <v>7020</v>
      </c>
      <c r="E13" s="15">
        <v>32</v>
      </c>
      <c r="F13" s="15">
        <v>32</v>
      </c>
      <c r="G13" s="15">
        <f t="shared" ref="G13:G44" si="0">IFERROR(D13/F13,0)</f>
        <v>219.375</v>
      </c>
    </row>
    <row r="14" spans="1:8" ht="20.149999999999999" customHeight="1" x14ac:dyDescent="0.35">
      <c r="A14" s="2">
        <f t="shared" ref="A14:A77" si="1">ROW(A2)</f>
        <v>2</v>
      </c>
      <c r="B14" s="14">
        <v>2</v>
      </c>
      <c r="C14" s="12" t="s">
        <v>214</v>
      </c>
      <c r="D14" s="15">
        <v>4860</v>
      </c>
      <c r="E14" s="15">
        <v>22</v>
      </c>
      <c r="F14" s="15">
        <v>22</v>
      </c>
      <c r="G14" s="15">
        <f t="shared" si="0"/>
        <v>220.90909090909091</v>
      </c>
    </row>
    <row r="15" spans="1:8" ht="20.149999999999999" customHeight="1" x14ac:dyDescent="0.35">
      <c r="A15" s="2">
        <f t="shared" si="1"/>
        <v>3</v>
      </c>
      <c r="B15" s="14">
        <v>3</v>
      </c>
      <c r="C15" s="12" t="s">
        <v>97</v>
      </c>
      <c r="D15" s="15">
        <v>4700</v>
      </c>
      <c r="E15" s="15">
        <v>23</v>
      </c>
      <c r="F15" s="15">
        <v>23</v>
      </c>
      <c r="G15" s="15">
        <f t="shared" si="0"/>
        <v>204.34782608695653</v>
      </c>
    </row>
    <row r="16" spans="1:8" ht="20.149999999999999" customHeight="1" x14ac:dyDescent="0.35">
      <c r="A16" s="2">
        <f t="shared" si="1"/>
        <v>4</v>
      </c>
      <c r="B16" s="14">
        <v>4</v>
      </c>
      <c r="C16" s="12" t="s">
        <v>38</v>
      </c>
      <c r="D16" s="15">
        <v>4210</v>
      </c>
      <c r="E16" s="15">
        <v>23</v>
      </c>
      <c r="F16" s="15">
        <v>23</v>
      </c>
      <c r="G16" s="15">
        <f t="shared" si="0"/>
        <v>183.04347826086956</v>
      </c>
    </row>
    <row r="17" spans="1:7" ht="20.149999999999999" customHeight="1" x14ac:dyDescent="0.35">
      <c r="A17" s="2">
        <f t="shared" si="1"/>
        <v>5</v>
      </c>
      <c r="B17" s="14">
        <v>5</v>
      </c>
      <c r="C17" s="18" t="s">
        <v>32</v>
      </c>
      <c r="D17" s="15">
        <v>4180</v>
      </c>
      <c r="E17" s="15">
        <v>19</v>
      </c>
      <c r="F17" s="15">
        <v>19</v>
      </c>
      <c r="G17" s="15">
        <f t="shared" si="0"/>
        <v>220</v>
      </c>
    </row>
    <row r="18" spans="1:7" ht="20.149999999999999" customHeight="1" x14ac:dyDescent="0.35">
      <c r="A18" s="2">
        <f t="shared" si="1"/>
        <v>6</v>
      </c>
      <c r="B18" s="14">
        <v>6</v>
      </c>
      <c r="C18" s="18" t="s">
        <v>215</v>
      </c>
      <c r="D18" s="15">
        <v>4140</v>
      </c>
      <c r="E18" s="15">
        <v>20</v>
      </c>
      <c r="F18" s="15">
        <v>20</v>
      </c>
      <c r="G18" s="15">
        <f t="shared" si="0"/>
        <v>207</v>
      </c>
    </row>
    <row r="19" spans="1:7" ht="20.149999999999999" customHeight="1" x14ac:dyDescent="0.35">
      <c r="A19" s="2">
        <f t="shared" si="1"/>
        <v>7</v>
      </c>
      <c r="B19" s="14">
        <v>7</v>
      </c>
      <c r="C19" s="18" t="s">
        <v>216</v>
      </c>
      <c r="D19" s="15">
        <v>4100</v>
      </c>
      <c r="E19" s="15">
        <v>22</v>
      </c>
      <c r="F19" s="15">
        <v>22</v>
      </c>
      <c r="G19" s="15">
        <f t="shared" si="0"/>
        <v>186.36363636363637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15</v>
      </c>
      <c r="D20" s="15">
        <v>4000</v>
      </c>
      <c r="E20" s="15">
        <v>20</v>
      </c>
      <c r="F20" s="15">
        <v>20</v>
      </c>
      <c r="G20" s="15">
        <f t="shared" si="0"/>
        <v>200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58</v>
      </c>
      <c r="D21" s="15">
        <v>3500</v>
      </c>
      <c r="E21" s="15">
        <v>21</v>
      </c>
      <c r="F21" s="15">
        <v>21</v>
      </c>
      <c r="G21" s="15">
        <f t="shared" si="0"/>
        <v>166.66666666666666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159</v>
      </c>
      <c r="D22" s="15">
        <v>3250</v>
      </c>
      <c r="E22" s="15">
        <v>17</v>
      </c>
      <c r="F22" s="15">
        <v>17</v>
      </c>
      <c r="G22" s="15">
        <f t="shared" si="0"/>
        <v>191.1764705882353</v>
      </c>
    </row>
    <row r="23" spans="1:7" ht="20.149999999999999" customHeight="1" x14ac:dyDescent="0.35">
      <c r="A23" s="2">
        <f t="shared" si="1"/>
        <v>11</v>
      </c>
      <c r="B23" s="14">
        <v>11</v>
      </c>
      <c r="C23" s="18" t="s">
        <v>219</v>
      </c>
      <c r="D23" s="15">
        <v>3240</v>
      </c>
      <c r="E23" s="15">
        <v>20</v>
      </c>
      <c r="F23" s="15">
        <v>20</v>
      </c>
      <c r="G23" s="15">
        <f t="shared" si="0"/>
        <v>162</v>
      </c>
    </row>
    <row r="24" spans="1:7" ht="20.149999999999999" customHeight="1" x14ac:dyDescent="0.35">
      <c r="A24" s="2">
        <f t="shared" si="1"/>
        <v>12</v>
      </c>
      <c r="B24" s="14">
        <v>12</v>
      </c>
      <c r="C24" s="18" t="s">
        <v>220</v>
      </c>
      <c r="D24" s="15">
        <v>3130</v>
      </c>
      <c r="E24" s="15">
        <v>18</v>
      </c>
      <c r="F24" s="15">
        <v>18</v>
      </c>
      <c r="G24" s="15">
        <f t="shared" si="0"/>
        <v>173.88888888888889</v>
      </c>
    </row>
    <row r="25" spans="1:7" ht="20.149999999999999" customHeight="1" x14ac:dyDescent="0.35">
      <c r="A25" s="2">
        <f t="shared" si="1"/>
        <v>13</v>
      </c>
      <c r="B25" s="14">
        <v>13</v>
      </c>
      <c r="C25" s="18" t="s">
        <v>221</v>
      </c>
      <c r="D25" s="15">
        <v>3030</v>
      </c>
      <c r="E25" s="15">
        <v>18</v>
      </c>
      <c r="F25" s="15">
        <v>18</v>
      </c>
      <c r="G25" s="15">
        <f t="shared" si="0"/>
        <v>168.33333333333334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107</v>
      </c>
      <c r="D26" s="15">
        <v>2940</v>
      </c>
      <c r="E26" s="15">
        <v>17</v>
      </c>
      <c r="F26" s="15">
        <v>17</v>
      </c>
      <c r="G26" s="15">
        <f t="shared" si="0"/>
        <v>172.94117647058823</v>
      </c>
    </row>
    <row r="27" spans="1:7" ht="20.149999999999999" customHeight="1" x14ac:dyDescent="0.35">
      <c r="A27" s="2">
        <f t="shared" si="1"/>
        <v>15</v>
      </c>
      <c r="B27" s="14">
        <v>15</v>
      </c>
      <c r="C27" s="18" t="s">
        <v>222</v>
      </c>
      <c r="D27" s="15">
        <v>2900</v>
      </c>
      <c r="E27" s="15">
        <v>18</v>
      </c>
      <c r="F27" s="15">
        <v>18</v>
      </c>
      <c r="G27" s="15">
        <f t="shared" si="0"/>
        <v>161.11111111111111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176</v>
      </c>
      <c r="D28" s="15">
        <v>2890</v>
      </c>
      <c r="E28" s="15">
        <v>15</v>
      </c>
      <c r="F28" s="15">
        <v>15</v>
      </c>
      <c r="G28" s="15">
        <f t="shared" si="0"/>
        <v>192.66666666666666</v>
      </c>
    </row>
    <row r="29" spans="1:7" ht="20.149999999999999" customHeight="1" x14ac:dyDescent="0.35">
      <c r="A29" s="2">
        <f t="shared" si="1"/>
        <v>17</v>
      </c>
      <c r="B29" s="14">
        <v>17</v>
      </c>
      <c r="C29" s="18" t="s">
        <v>223</v>
      </c>
      <c r="D29" s="15">
        <v>2860</v>
      </c>
      <c r="E29" s="15">
        <v>17</v>
      </c>
      <c r="F29" s="15">
        <v>17</v>
      </c>
      <c r="G29" s="15">
        <f t="shared" si="0"/>
        <v>168.23529411764707</v>
      </c>
    </row>
    <row r="30" spans="1:7" ht="20.149999999999999" customHeight="1" x14ac:dyDescent="0.35">
      <c r="A30" s="2">
        <f t="shared" si="1"/>
        <v>18</v>
      </c>
      <c r="B30" s="14">
        <v>18</v>
      </c>
      <c r="C30" s="18" t="s">
        <v>224</v>
      </c>
      <c r="D30" s="15">
        <v>2770</v>
      </c>
      <c r="E30" s="15">
        <v>16</v>
      </c>
      <c r="F30" s="15">
        <v>16</v>
      </c>
      <c r="G30" s="15">
        <f t="shared" si="0"/>
        <v>173.125</v>
      </c>
    </row>
    <row r="31" spans="1:7" ht="20.149999999999999" customHeight="1" x14ac:dyDescent="0.35">
      <c r="A31" s="2">
        <f t="shared" si="1"/>
        <v>19</v>
      </c>
      <c r="B31" s="14">
        <v>19</v>
      </c>
      <c r="C31" s="18" t="s">
        <v>225</v>
      </c>
      <c r="D31" s="15">
        <v>2640</v>
      </c>
      <c r="E31" s="15">
        <v>19</v>
      </c>
      <c r="F31" s="15">
        <v>19</v>
      </c>
      <c r="G31" s="15">
        <f t="shared" si="0"/>
        <v>138.94736842105263</v>
      </c>
    </row>
    <row r="32" spans="1:7" ht="20.149999999999999" customHeight="1" x14ac:dyDescent="0.35">
      <c r="A32" s="2">
        <f t="shared" si="1"/>
        <v>20</v>
      </c>
      <c r="B32" s="14">
        <v>20</v>
      </c>
      <c r="C32" s="18" t="s">
        <v>224</v>
      </c>
      <c r="D32" s="15">
        <v>2630</v>
      </c>
      <c r="E32" s="15">
        <v>14</v>
      </c>
      <c r="F32" s="15">
        <v>14</v>
      </c>
      <c r="G32" s="15">
        <f t="shared" si="0"/>
        <v>187.85714285714286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77</v>
      </c>
      <c r="D33" s="15">
        <v>2610</v>
      </c>
      <c r="E33" s="15">
        <v>15</v>
      </c>
      <c r="F33" s="15">
        <v>15</v>
      </c>
      <c r="G33" s="15">
        <f t="shared" si="0"/>
        <v>174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175</v>
      </c>
      <c r="D34" s="15">
        <v>2580</v>
      </c>
      <c r="E34" s="15">
        <v>15</v>
      </c>
      <c r="F34" s="15">
        <v>15</v>
      </c>
      <c r="G34" s="15">
        <f t="shared" si="0"/>
        <v>172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195</v>
      </c>
      <c r="D35" s="15">
        <v>2580</v>
      </c>
      <c r="E35" s="15">
        <v>12</v>
      </c>
      <c r="F35" s="15">
        <v>12</v>
      </c>
      <c r="G35" s="15">
        <f t="shared" si="0"/>
        <v>215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126</v>
      </c>
      <c r="D36" s="15">
        <v>2560</v>
      </c>
      <c r="E36" s="15">
        <v>15</v>
      </c>
      <c r="F36" s="15">
        <v>15</v>
      </c>
      <c r="G36" s="15">
        <f t="shared" si="0"/>
        <v>170.66666666666666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169</v>
      </c>
      <c r="D37" s="15">
        <v>2550</v>
      </c>
      <c r="E37" s="15">
        <v>17</v>
      </c>
      <c r="F37" s="15">
        <v>17</v>
      </c>
      <c r="G37" s="15">
        <f t="shared" si="0"/>
        <v>150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42</v>
      </c>
      <c r="D38" s="15">
        <v>2540</v>
      </c>
      <c r="E38" s="15">
        <v>15</v>
      </c>
      <c r="F38" s="15">
        <v>15</v>
      </c>
      <c r="G38" s="15">
        <f t="shared" si="0"/>
        <v>169.33333333333334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26</v>
      </c>
      <c r="D39" s="15">
        <v>2530</v>
      </c>
      <c r="E39" s="15">
        <v>15</v>
      </c>
      <c r="F39" s="15">
        <v>15</v>
      </c>
      <c r="G39" s="15">
        <f t="shared" si="0"/>
        <v>168.66666666666666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150</v>
      </c>
      <c r="D40" s="15">
        <v>2520</v>
      </c>
      <c r="E40" s="15">
        <v>15</v>
      </c>
      <c r="F40" s="15">
        <v>15</v>
      </c>
      <c r="G40" s="15">
        <f t="shared" si="0"/>
        <v>168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137</v>
      </c>
      <c r="D41" s="15">
        <v>2510</v>
      </c>
      <c r="E41" s="15">
        <v>13</v>
      </c>
      <c r="F41" s="15">
        <v>13</v>
      </c>
      <c r="G41" s="15">
        <f t="shared" si="0"/>
        <v>193.07692307692307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226</v>
      </c>
      <c r="D42" s="15">
        <v>2500</v>
      </c>
      <c r="E42" s="15">
        <v>14</v>
      </c>
      <c r="F42" s="15">
        <v>14</v>
      </c>
      <c r="G42" s="15">
        <f t="shared" si="0"/>
        <v>178.57142857142858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34</v>
      </c>
      <c r="D43" s="15">
        <v>2470</v>
      </c>
      <c r="E43" s="15">
        <v>16</v>
      </c>
      <c r="F43" s="15">
        <v>16</v>
      </c>
      <c r="G43" s="15">
        <f t="shared" si="0"/>
        <v>154.375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116</v>
      </c>
      <c r="D44" s="15">
        <v>2460</v>
      </c>
      <c r="E44" s="15">
        <v>14</v>
      </c>
      <c r="F44" s="15">
        <v>14</v>
      </c>
      <c r="G44" s="15">
        <f t="shared" si="0"/>
        <v>175.71428571428572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227</v>
      </c>
      <c r="D45" s="15">
        <v>2440</v>
      </c>
      <c r="E45" s="15">
        <v>16</v>
      </c>
      <c r="F45" s="15">
        <v>16</v>
      </c>
      <c r="G45" s="15">
        <f t="shared" ref="G45:G76" si="2">IFERROR(D45/F45,0)</f>
        <v>152.5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115</v>
      </c>
      <c r="D46" s="15">
        <v>2440</v>
      </c>
      <c r="E46" s="15">
        <v>14</v>
      </c>
      <c r="F46" s="15">
        <v>14</v>
      </c>
      <c r="G46" s="15">
        <f t="shared" si="2"/>
        <v>174.28571428571428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125</v>
      </c>
      <c r="D47" s="15">
        <v>2420</v>
      </c>
      <c r="E47" s="15">
        <v>16</v>
      </c>
      <c r="F47" s="15">
        <v>16</v>
      </c>
      <c r="G47" s="15">
        <f t="shared" si="2"/>
        <v>151.25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47</v>
      </c>
      <c r="D48" s="15">
        <v>2410</v>
      </c>
      <c r="E48" s="15">
        <v>15</v>
      </c>
      <c r="F48" s="15">
        <v>15</v>
      </c>
      <c r="G48" s="15">
        <f t="shared" si="2"/>
        <v>160.66666666666666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228</v>
      </c>
      <c r="D49" s="15">
        <v>2390</v>
      </c>
      <c r="E49" s="15">
        <v>14</v>
      </c>
      <c r="F49" s="15">
        <v>15</v>
      </c>
      <c r="G49" s="15">
        <f t="shared" si="2"/>
        <v>159.33333333333334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163</v>
      </c>
      <c r="D50" s="15">
        <v>2380</v>
      </c>
      <c r="E50" s="15">
        <v>15</v>
      </c>
      <c r="F50" s="15">
        <v>15</v>
      </c>
      <c r="G50" s="15">
        <f t="shared" si="2"/>
        <v>158.66666666666666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170</v>
      </c>
      <c r="D51" s="15">
        <v>2360</v>
      </c>
      <c r="E51" s="15">
        <v>15</v>
      </c>
      <c r="F51" s="15">
        <v>15</v>
      </c>
      <c r="G51" s="15">
        <f t="shared" si="2"/>
        <v>157.33333333333334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114</v>
      </c>
      <c r="D52" s="15">
        <v>2350</v>
      </c>
      <c r="E52" s="15">
        <v>15</v>
      </c>
      <c r="F52" s="15">
        <v>15</v>
      </c>
      <c r="G52" s="15">
        <f t="shared" si="2"/>
        <v>156.66666666666666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229</v>
      </c>
      <c r="D53" s="15">
        <v>2280</v>
      </c>
      <c r="E53" s="15">
        <v>13</v>
      </c>
      <c r="F53" s="15">
        <v>13</v>
      </c>
      <c r="G53" s="15">
        <f t="shared" si="2"/>
        <v>175.38461538461539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18</v>
      </c>
      <c r="D54" s="15">
        <v>2270</v>
      </c>
      <c r="E54" s="15">
        <v>13</v>
      </c>
      <c r="F54" s="15">
        <v>13</v>
      </c>
      <c r="G54" s="15">
        <f t="shared" si="2"/>
        <v>174.61538461538461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23</v>
      </c>
      <c r="D55" s="15">
        <v>2260</v>
      </c>
      <c r="E55" s="15">
        <v>12</v>
      </c>
      <c r="F55" s="15">
        <v>12</v>
      </c>
      <c r="G55" s="15">
        <f t="shared" si="2"/>
        <v>188.33333333333334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13</v>
      </c>
      <c r="D56" s="15">
        <v>2260</v>
      </c>
      <c r="E56" s="15">
        <v>10</v>
      </c>
      <c r="F56" s="15">
        <v>10</v>
      </c>
      <c r="G56" s="15">
        <f t="shared" si="2"/>
        <v>226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203</v>
      </c>
      <c r="D57" s="15">
        <v>2250</v>
      </c>
      <c r="E57" s="15">
        <v>15</v>
      </c>
      <c r="F57" s="15">
        <v>15</v>
      </c>
      <c r="G57" s="15">
        <f t="shared" si="2"/>
        <v>150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109</v>
      </c>
      <c r="D58" s="15">
        <v>2250</v>
      </c>
      <c r="E58" s="15">
        <v>14</v>
      </c>
      <c r="F58" s="15">
        <v>14</v>
      </c>
      <c r="G58" s="15">
        <f t="shared" si="2"/>
        <v>160.71428571428572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161</v>
      </c>
      <c r="D59" s="15">
        <v>2230</v>
      </c>
      <c r="E59" s="15">
        <v>14</v>
      </c>
      <c r="F59" s="15">
        <v>14</v>
      </c>
      <c r="G59" s="15">
        <f t="shared" si="2"/>
        <v>159.28571428571428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25</v>
      </c>
      <c r="D60" s="15">
        <v>2220</v>
      </c>
      <c r="E60" s="15">
        <v>12</v>
      </c>
      <c r="F60" s="15">
        <v>12</v>
      </c>
      <c r="G60" s="15">
        <f t="shared" si="2"/>
        <v>185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84</v>
      </c>
      <c r="D61" s="15">
        <v>2200</v>
      </c>
      <c r="E61" s="15">
        <v>13</v>
      </c>
      <c r="F61" s="15">
        <v>13</v>
      </c>
      <c r="G61" s="15">
        <f t="shared" si="2"/>
        <v>169.23076923076923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174</v>
      </c>
      <c r="D62" s="15">
        <v>2200</v>
      </c>
      <c r="E62" s="15">
        <v>12</v>
      </c>
      <c r="F62" s="15">
        <v>12</v>
      </c>
      <c r="G62" s="15">
        <f t="shared" si="2"/>
        <v>183.33333333333334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51</v>
      </c>
      <c r="D63" s="15">
        <v>2200</v>
      </c>
      <c r="E63" s="15">
        <v>10</v>
      </c>
      <c r="F63" s="15">
        <v>10</v>
      </c>
      <c r="G63" s="15">
        <f t="shared" si="2"/>
        <v>220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21</v>
      </c>
      <c r="D64" s="15">
        <v>2180</v>
      </c>
      <c r="E64" s="15">
        <v>13</v>
      </c>
      <c r="F64" s="15">
        <v>13</v>
      </c>
      <c r="G64" s="15">
        <f t="shared" si="2"/>
        <v>167.69230769230768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17</v>
      </c>
      <c r="D65" s="15">
        <v>2180</v>
      </c>
      <c r="E65" s="15">
        <v>11</v>
      </c>
      <c r="F65" s="15">
        <v>11</v>
      </c>
      <c r="G65" s="15">
        <f t="shared" si="2"/>
        <v>198.18181818181819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54</v>
      </c>
      <c r="D66" s="15">
        <v>2170</v>
      </c>
      <c r="E66" s="15">
        <v>15</v>
      </c>
      <c r="F66" s="15">
        <v>15</v>
      </c>
      <c r="G66" s="15">
        <f t="shared" si="2"/>
        <v>144.66666666666666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218</v>
      </c>
      <c r="D67" s="15">
        <v>2170</v>
      </c>
      <c r="E67" s="15">
        <v>13</v>
      </c>
      <c r="F67" s="15">
        <v>13</v>
      </c>
      <c r="G67" s="15">
        <f t="shared" si="2"/>
        <v>166.92307692307693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230</v>
      </c>
      <c r="D68" s="15">
        <v>2160</v>
      </c>
      <c r="E68" s="15">
        <v>15</v>
      </c>
      <c r="F68" s="15">
        <v>15</v>
      </c>
      <c r="G68" s="15">
        <f t="shared" si="2"/>
        <v>144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231</v>
      </c>
      <c r="D69" s="15">
        <v>2150</v>
      </c>
      <c r="E69" s="15">
        <v>15</v>
      </c>
      <c r="F69" s="15">
        <v>15</v>
      </c>
      <c r="G69" s="15">
        <f t="shared" si="2"/>
        <v>143.33333333333334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59</v>
      </c>
      <c r="D70" s="15">
        <v>2150</v>
      </c>
      <c r="E70" s="15">
        <v>13</v>
      </c>
      <c r="F70" s="15">
        <v>13</v>
      </c>
      <c r="G70" s="15">
        <f t="shared" si="2"/>
        <v>165.38461538461539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141</v>
      </c>
      <c r="D71" s="15">
        <v>2140</v>
      </c>
      <c r="E71" s="15">
        <v>16</v>
      </c>
      <c r="F71" s="15">
        <v>16</v>
      </c>
      <c r="G71" s="15">
        <f t="shared" si="2"/>
        <v>133.75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178</v>
      </c>
      <c r="D72" s="15">
        <v>2130</v>
      </c>
      <c r="E72" s="15">
        <v>11</v>
      </c>
      <c r="F72" s="15">
        <v>11</v>
      </c>
      <c r="G72" s="15">
        <f t="shared" si="2"/>
        <v>193.63636363636363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118</v>
      </c>
      <c r="D73" s="15">
        <v>2120</v>
      </c>
      <c r="E73" s="15">
        <v>14</v>
      </c>
      <c r="F73" s="15">
        <v>14</v>
      </c>
      <c r="G73" s="15">
        <f t="shared" si="2"/>
        <v>151.42857142857142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64</v>
      </c>
      <c r="D74" s="15">
        <v>2100</v>
      </c>
      <c r="E74" s="15">
        <v>15</v>
      </c>
      <c r="F74" s="15">
        <v>15</v>
      </c>
      <c r="G74" s="15">
        <f t="shared" si="2"/>
        <v>140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232</v>
      </c>
      <c r="D75" s="15">
        <v>2070</v>
      </c>
      <c r="E75" s="15">
        <v>13</v>
      </c>
      <c r="F75" s="15">
        <v>13</v>
      </c>
      <c r="G75" s="15">
        <f t="shared" si="2"/>
        <v>159.23076923076923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185</v>
      </c>
      <c r="D76" s="15">
        <v>2060</v>
      </c>
      <c r="E76" s="15">
        <v>12</v>
      </c>
      <c r="F76" s="15">
        <v>12</v>
      </c>
      <c r="G76" s="15">
        <f t="shared" si="2"/>
        <v>171.66666666666666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204</v>
      </c>
      <c r="D77" s="15">
        <v>2060</v>
      </c>
      <c r="E77" s="15">
        <v>11</v>
      </c>
      <c r="F77" s="15">
        <v>11</v>
      </c>
      <c r="G77" s="15">
        <f t="shared" ref="G77:G108" si="3">IFERROR(D77/F77,0)</f>
        <v>187.27272727272728</v>
      </c>
    </row>
    <row r="78" spans="1:7" ht="20.149999999999999" customHeight="1" x14ac:dyDescent="0.35">
      <c r="A78" s="2">
        <f t="shared" ref="A78:A141" si="4">ROW(A66)</f>
        <v>66</v>
      </c>
      <c r="B78" s="14">
        <v>66</v>
      </c>
      <c r="C78" s="12" t="s">
        <v>75</v>
      </c>
      <c r="D78" s="15">
        <v>2050</v>
      </c>
      <c r="E78" s="15">
        <v>18</v>
      </c>
      <c r="F78" s="15">
        <v>18</v>
      </c>
      <c r="G78" s="15">
        <f t="shared" si="3"/>
        <v>113.88888888888889</v>
      </c>
    </row>
    <row r="79" spans="1:7" ht="20.149999999999999" customHeight="1" x14ac:dyDescent="0.35">
      <c r="A79" s="2">
        <f t="shared" si="4"/>
        <v>67</v>
      </c>
      <c r="B79" s="14">
        <v>67</v>
      </c>
      <c r="C79" s="12" t="s">
        <v>206</v>
      </c>
      <c r="D79" s="15">
        <v>2050</v>
      </c>
      <c r="E79" s="15">
        <v>15</v>
      </c>
      <c r="F79" s="15">
        <v>15</v>
      </c>
      <c r="G79" s="15">
        <f t="shared" si="3"/>
        <v>136.66666666666666</v>
      </c>
    </row>
    <row r="80" spans="1:7" ht="20.149999999999999" customHeight="1" x14ac:dyDescent="0.35">
      <c r="A80" s="2">
        <f t="shared" si="4"/>
        <v>68</v>
      </c>
      <c r="B80" s="14">
        <v>68</v>
      </c>
      <c r="C80" s="12" t="s">
        <v>171</v>
      </c>
      <c r="D80" s="15">
        <v>2040</v>
      </c>
      <c r="E80" s="15">
        <v>12</v>
      </c>
      <c r="F80" s="15">
        <v>12</v>
      </c>
      <c r="G80" s="15">
        <f t="shared" si="3"/>
        <v>170</v>
      </c>
    </row>
    <row r="81" spans="1:7" ht="20.149999999999999" customHeight="1" x14ac:dyDescent="0.35">
      <c r="A81" s="2">
        <f t="shared" si="4"/>
        <v>69</v>
      </c>
      <c r="B81" s="14">
        <v>69</v>
      </c>
      <c r="C81" s="12" t="s">
        <v>146</v>
      </c>
      <c r="D81" s="15">
        <v>2020</v>
      </c>
      <c r="E81" s="15">
        <v>15</v>
      </c>
      <c r="F81" s="15">
        <v>15</v>
      </c>
      <c r="G81" s="15">
        <f t="shared" si="3"/>
        <v>134.66666666666666</v>
      </c>
    </row>
    <row r="82" spans="1:7" ht="20.149999999999999" customHeight="1" x14ac:dyDescent="0.35">
      <c r="A82" s="2">
        <f t="shared" si="4"/>
        <v>70</v>
      </c>
      <c r="B82" s="14">
        <v>70</v>
      </c>
      <c r="C82" s="12" t="s">
        <v>207</v>
      </c>
      <c r="D82" s="15">
        <v>2020</v>
      </c>
      <c r="E82" s="15">
        <v>15</v>
      </c>
      <c r="F82" s="15">
        <v>15</v>
      </c>
      <c r="G82" s="15">
        <f t="shared" si="3"/>
        <v>134.66666666666666</v>
      </c>
    </row>
    <row r="83" spans="1:7" ht="20.149999999999999" customHeight="1" x14ac:dyDescent="0.35">
      <c r="A83" s="2">
        <f t="shared" si="4"/>
        <v>71</v>
      </c>
      <c r="B83" s="14">
        <v>71</v>
      </c>
      <c r="C83" s="12" t="s">
        <v>172</v>
      </c>
      <c r="D83" s="15">
        <v>2020</v>
      </c>
      <c r="E83" s="15">
        <v>14</v>
      </c>
      <c r="F83" s="15">
        <v>14</v>
      </c>
      <c r="G83" s="15">
        <f t="shared" si="3"/>
        <v>144.28571428571428</v>
      </c>
    </row>
    <row r="84" spans="1:7" ht="20.149999999999999" customHeight="1" x14ac:dyDescent="0.35">
      <c r="A84" s="2">
        <f t="shared" si="4"/>
        <v>72</v>
      </c>
      <c r="B84" s="14">
        <v>72</v>
      </c>
      <c r="C84" s="12" t="s">
        <v>182</v>
      </c>
      <c r="D84" s="15">
        <v>2020</v>
      </c>
      <c r="E84" s="15">
        <v>11</v>
      </c>
      <c r="F84" s="15">
        <v>11</v>
      </c>
      <c r="G84" s="15">
        <f t="shared" si="3"/>
        <v>183.63636363636363</v>
      </c>
    </row>
    <row r="85" spans="1:7" ht="20.149999999999999" customHeight="1" x14ac:dyDescent="0.35">
      <c r="A85" s="2">
        <f t="shared" si="4"/>
        <v>73</v>
      </c>
      <c r="B85" s="14">
        <v>73</v>
      </c>
      <c r="C85" s="12" t="s">
        <v>19</v>
      </c>
      <c r="D85" s="15">
        <v>2020</v>
      </c>
      <c r="E85" s="15">
        <v>11</v>
      </c>
      <c r="F85" s="15">
        <v>11</v>
      </c>
      <c r="G85" s="15">
        <f t="shared" si="3"/>
        <v>183.63636363636363</v>
      </c>
    </row>
    <row r="86" spans="1:7" ht="20.149999999999999" customHeight="1" x14ac:dyDescent="0.35">
      <c r="A86" s="2">
        <f t="shared" si="4"/>
        <v>74</v>
      </c>
      <c r="B86" s="14">
        <v>74</v>
      </c>
      <c r="C86" s="12" t="s">
        <v>189</v>
      </c>
      <c r="D86" s="15">
        <v>2010</v>
      </c>
      <c r="E86" s="15">
        <v>12</v>
      </c>
      <c r="F86" s="15">
        <v>12</v>
      </c>
      <c r="G86" s="15">
        <f t="shared" si="3"/>
        <v>167.5</v>
      </c>
    </row>
    <row r="87" spans="1:7" ht="20.149999999999999" customHeight="1" x14ac:dyDescent="0.35">
      <c r="A87" s="2">
        <f t="shared" si="4"/>
        <v>75</v>
      </c>
      <c r="B87" s="14">
        <v>75</v>
      </c>
      <c r="C87" s="12" t="s">
        <v>192</v>
      </c>
      <c r="D87" s="15">
        <v>2000</v>
      </c>
      <c r="E87" s="15">
        <v>13</v>
      </c>
      <c r="F87" s="15">
        <v>13</v>
      </c>
      <c r="G87" s="15">
        <f t="shared" si="3"/>
        <v>153.84615384615384</v>
      </c>
    </row>
    <row r="88" spans="1:7" ht="20.149999999999999" customHeight="1" x14ac:dyDescent="0.35">
      <c r="A88" s="2">
        <f t="shared" si="4"/>
        <v>76</v>
      </c>
      <c r="B88" s="14">
        <v>76</v>
      </c>
      <c r="C88" s="12" t="s">
        <v>145</v>
      </c>
      <c r="D88" s="15">
        <v>2000</v>
      </c>
      <c r="E88" s="15">
        <v>13</v>
      </c>
      <c r="F88" s="15">
        <v>13</v>
      </c>
      <c r="G88" s="15">
        <f t="shared" si="3"/>
        <v>153.84615384615384</v>
      </c>
    </row>
    <row r="89" spans="1:7" ht="20.149999999999999" customHeight="1" x14ac:dyDescent="0.35">
      <c r="A89" s="2">
        <f t="shared" si="4"/>
        <v>77</v>
      </c>
      <c r="B89" s="14">
        <v>77</v>
      </c>
      <c r="C89" s="12" t="s">
        <v>40</v>
      </c>
      <c r="D89" s="15">
        <v>2000</v>
      </c>
      <c r="E89" s="15">
        <v>11</v>
      </c>
      <c r="F89" s="15">
        <v>11</v>
      </c>
      <c r="G89" s="15">
        <f t="shared" si="3"/>
        <v>181.81818181818181</v>
      </c>
    </row>
    <row r="90" spans="1:7" ht="20.149999999999999" customHeight="1" x14ac:dyDescent="0.35">
      <c r="A90" s="2">
        <f t="shared" si="4"/>
        <v>78</v>
      </c>
      <c r="B90" s="14">
        <v>78</v>
      </c>
      <c r="C90" s="12" t="s">
        <v>167</v>
      </c>
      <c r="D90" s="15">
        <v>1980</v>
      </c>
      <c r="E90" s="15">
        <v>11</v>
      </c>
      <c r="F90" s="15">
        <v>11</v>
      </c>
      <c r="G90" s="15">
        <f t="shared" si="3"/>
        <v>180</v>
      </c>
    </row>
    <row r="91" spans="1:7" ht="20.149999999999999" customHeight="1" x14ac:dyDescent="0.35">
      <c r="A91" s="2">
        <f t="shared" si="4"/>
        <v>79</v>
      </c>
      <c r="B91" s="14">
        <v>79</v>
      </c>
      <c r="C91" s="12" t="s">
        <v>14</v>
      </c>
      <c r="D91" s="15">
        <v>1980</v>
      </c>
      <c r="E91" s="15">
        <v>9</v>
      </c>
      <c r="F91" s="15">
        <v>9</v>
      </c>
      <c r="G91" s="15">
        <f t="shared" si="3"/>
        <v>220</v>
      </c>
    </row>
    <row r="92" spans="1:7" ht="20.149999999999999" customHeight="1" x14ac:dyDescent="0.35">
      <c r="A92" s="2">
        <f t="shared" si="4"/>
        <v>80</v>
      </c>
      <c r="B92" s="14">
        <v>80</v>
      </c>
      <c r="C92" s="12" t="s">
        <v>37</v>
      </c>
      <c r="D92" s="15">
        <v>1960</v>
      </c>
      <c r="E92" s="15">
        <v>15</v>
      </c>
      <c r="F92" s="15">
        <v>15</v>
      </c>
      <c r="G92" s="15">
        <f t="shared" si="3"/>
        <v>130.66666666666666</v>
      </c>
    </row>
    <row r="93" spans="1:7" ht="20.149999999999999" customHeight="1" x14ac:dyDescent="0.35">
      <c r="A93" s="2">
        <f t="shared" si="4"/>
        <v>81</v>
      </c>
      <c r="B93" s="14">
        <v>81</v>
      </c>
      <c r="C93" s="12" t="s">
        <v>149</v>
      </c>
      <c r="D93" s="15">
        <v>1960</v>
      </c>
      <c r="E93" s="15">
        <v>13</v>
      </c>
      <c r="F93" s="15">
        <v>13</v>
      </c>
      <c r="G93" s="15">
        <f t="shared" si="3"/>
        <v>150.76923076923077</v>
      </c>
    </row>
    <row r="94" spans="1:7" ht="20.149999999999999" customHeight="1" x14ac:dyDescent="0.35">
      <c r="A94" s="2">
        <f t="shared" si="4"/>
        <v>82</v>
      </c>
      <c r="B94" s="14">
        <v>82</v>
      </c>
      <c r="C94" s="12" t="s">
        <v>191</v>
      </c>
      <c r="D94" s="15">
        <v>1960</v>
      </c>
      <c r="E94" s="15">
        <v>10</v>
      </c>
      <c r="F94" s="15">
        <v>10</v>
      </c>
      <c r="G94" s="15">
        <f t="shared" si="3"/>
        <v>196</v>
      </c>
    </row>
    <row r="95" spans="1:7" ht="20.149999999999999" customHeight="1" x14ac:dyDescent="0.35">
      <c r="A95" s="2">
        <f t="shared" si="4"/>
        <v>83</v>
      </c>
      <c r="B95" s="14">
        <v>83</v>
      </c>
      <c r="C95" s="12" t="s">
        <v>95</v>
      </c>
      <c r="D95" s="15">
        <v>1920</v>
      </c>
      <c r="E95" s="15">
        <v>13</v>
      </c>
      <c r="F95" s="15">
        <v>13</v>
      </c>
      <c r="G95" s="15">
        <f t="shared" si="3"/>
        <v>147.69230769230768</v>
      </c>
    </row>
    <row r="96" spans="1:7" ht="20.149999999999999" customHeight="1" x14ac:dyDescent="0.35">
      <c r="A96" s="2">
        <f t="shared" si="4"/>
        <v>84</v>
      </c>
      <c r="B96" s="14">
        <v>84</v>
      </c>
      <c r="C96" s="12" t="s">
        <v>205</v>
      </c>
      <c r="D96" s="15">
        <v>1920</v>
      </c>
      <c r="E96" s="15">
        <v>12</v>
      </c>
      <c r="F96" s="15">
        <v>12</v>
      </c>
      <c r="G96" s="15">
        <f t="shared" si="3"/>
        <v>160</v>
      </c>
    </row>
    <row r="97" spans="1:7" ht="20.149999999999999" customHeight="1" x14ac:dyDescent="0.35">
      <c r="A97" s="2">
        <f t="shared" si="4"/>
        <v>85</v>
      </c>
      <c r="B97" s="14">
        <v>85</v>
      </c>
      <c r="C97" s="12" t="s">
        <v>217</v>
      </c>
      <c r="D97" s="15">
        <v>1920</v>
      </c>
      <c r="E97" s="15">
        <v>12</v>
      </c>
      <c r="F97" s="15">
        <v>12</v>
      </c>
      <c r="G97" s="15">
        <f t="shared" si="3"/>
        <v>160</v>
      </c>
    </row>
    <row r="98" spans="1:7" ht="20.149999999999999" customHeight="1" x14ac:dyDescent="0.35">
      <c r="A98" s="2">
        <f t="shared" si="4"/>
        <v>86</v>
      </c>
      <c r="B98" s="14">
        <v>86</v>
      </c>
      <c r="C98" s="12" t="s">
        <v>138</v>
      </c>
      <c r="D98" s="15">
        <v>1910</v>
      </c>
      <c r="E98" s="15">
        <v>13</v>
      </c>
      <c r="F98" s="15">
        <v>13</v>
      </c>
      <c r="G98" s="15">
        <f t="shared" si="3"/>
        <v>146.92307692307693</v>
      </c>
    </row>
    <row r="99" spans="1:7" ht="20.149999999999999" customHeight="1" x14ac:dyDescent="0.35">
      <c r="A99" s="2">
        <f t="shared" si="4"/>
        <v>87</v>
      </c>
      <c r="B99" s="14">
        <v>87</v>
      </c>
      <c r="C99" s="12" t="s">
        <v>117</v>
      </c>
      <c r="D99" s="15">
        <v>1900</v>
      </c>
      <c r="E99" s="15">
        <v>14</v>
      </c>
      <c r="F99" s="15">
        <v>14</v>
      </c>
      <c r="G99" s="15">
        <f t="shared" si="3"/>
        <v>135.71428571428572</v>
      </c>
    </row>
    <row r="100" spans="1:7" ht="20.149999999999999" customHeight="1" x14ac:dyDescent="0.35">
      <c r="A100" s="2">
        <f t="shared" si="4"/>
        <v>88</v>
      </c>
      <c r="B100" s="14">
        <v>88</v>
      </c>
      <c r="C100" s="12" t="s">
        <v>184</v>
      </c>
      <c r="D100" s="15">
        <v>1900</v>
      </c>
      <c r="E100" s="15">
        <v>13</v>
      </c>
      <c r="F100" s="15">
        <v>13</v>
      </c>
      <c r="G100" s="15">
        <f t="shared" si="3"/>
        <v>146.15384615384616</v>
      </c>
    </row>
    <row r="101" spans="1:7" ht="20.149999999999999" customHeight="1" x14ac:dyDescent="0.35">
      <c r="A101" s="2">
        <f t="shared" si="4"/>
        <v>89</v>
      </c>
      <c r="B101" s="14">
        <v>89</v>
      </c>
      <c r="C101" s="12" t="s">
        <v>79</v>
      </c>
      <c r="D101" s="15">
        <v>1900</v>
      </c>
      <c r="E101" s="15">
        <v>12</v>
      </c>
      <c r="F101" s="15">
        <v>12</v>
      </c>
      <c r="G101" s="15">
        <f t="shared" si="3"/>
        <v>158.33333333333334</v>
      </c>
    </row>
    <row r="102" spans="1:7" ht="20.149999999999999" customHeight="1" x14ac:dyDescent="0.35">
      <c r="A102" s="2">
        <f t="shared" si="4"/>
        <v>90</v>
      </c>
      <c r="B102" s="14">
        <v>90</v>
      </c>
      <c r="C102" s="12" t="s">
        <v>140</v>
      </c>
      <c r="D102" s="15">
        <v>1890</v>
      </c>
      <c r="E102" s="15">
        <v>15</v>
      </c>
      <c r="F102" s="15">
        <v>15</v>
      </c>
      <c r="G102" s="15">
        <f t="shared" si="3"/>
        <v>126</v>
      </c>
    </row>
    <row r="103" spans="1:7" ht="20.149999999999999" customHeight="1" x14ac:dyDescent="0.35">
      <c r="A103" s="2">
        <f t="shared" si="4"/>
        <v>91</v>
      </c>
      <c r="B103" s="14">
        <v>91</v>
      </c>
      <c r="C103" s="12" t="s">
        <v>72</v>
      </c>
      <c r="D103" s="15">
        <v>1890</v>
      </c>
      <c r="E103" s="15">
        <v>14</v>
      </c>
      <c r="F103" s="15">
        <v>14</v>
      </c>
      <c r="G103" s="15">
        <f t="shared" si="3"/>
        <v>135</v>
      </c>
    </row>
    <row r="104" spans="1:7" ht="20.149999999999999" customHeight="1" x14ac:dyDescent="0.35">
      <c r="A104" s="2">
        <f t="shared" si="4"/>
        <v>92</v>
      </c>
      <c r="B104" s="14">
        <v>92</v>
      </c>
      <c r="C104" s="12" t="s">
        <v>56</v>
      </c>
      <c r="D104" s="15">
        <v>1890</v>
      </c>
      <c r="E104" s="15">
        <v>10</v>
      </c>
      <c r="F104" s="15">
        <v>10</v>
      </c>
      <c r="G104" s="15">
        <f t="shared" si="3"/>
        <v>189</v>
      </c>
    </row>
    <row r="105" spans="1:7" ht="20.149999999999999" customHeight="1" x14ac:dyDescent="0.35">
      <c r="A105" s="2">
        <f t="shared" si="4"/>
        <v>93</v>
      </c>
      <c r="B105" s="14">
        <v>93</v>
      </c>
      <c r="C105" s="12" t="s">
        <v>168</v>
      </c>
      <c r="D105" s="15">
        <v>1880</v>
      </c>
      <c r="E105" s="15">
        <v>10</v>
      </c>
      <c r="F105" s="15">
        <v>11</v>
      </c>
      <c r="G105" s="15">
        <f t="shared" si="3"/>
        <v>170.90909090909091</v>
      </c>
    </row>
    <row r="106" spans="1:7" ht="20.149999999999999" customHeight="1" x14ac:dyDescent="0.35">
      <c r="A106" s="2">
        <f t="shared" si="4"/>
        <v>94</v>
      </c>
      <c r="B106" s="14">
        <v>94</v>
      </c>
      <c r="C106" s="12" t="s">
        <v>180</v>
      </c>
      <c r="D106" s="15">
        <v>1870</v>
      </c>
      <c r="E106" s="15">
        <v>11</v>
      </c>
      <c r="F106" s="15">
        <v>11</v>
      </c>
      <c r="G106" s="15">
        <f t="shared" si="3"/>
        <v>170</v>
      </c>
    </row>
    <row r="107" spans="1:7" ht="20.149999999999999" customHeight="1" x14ac:dyDescent="0.35">
      <c r="A107" s="2">
        <f t="shared" si="4"/>
        <v>95</v>
      </c>
      <c r="B107" s="14">
        <v>95</v>
      </c>
      <c r="C107" s="12" t="s">
        <v>188</v>
      </c>
      <c r="D107" s="15">
        <v>1860</v>
      </c>
      <c r="E107" s="15">
        <v>9</v>
      </c>
      <c r="F107" s="15">
        <v>9</v>
      </c>
      <c r="G107" s="15">
        <f t="shared" si="3"/>
        <v>206.66666666666666</v>
      </c>
    </row>
    <row r="108" spans="1:7" ht="20.149999999999999" customHeight="1" x14ac:dyDescent="0.35">
      <c r="A108" s="2">
        <f t="shared" si="4"/>
        <v>96</v>
      </c>
      <c r="B108" s="14">
        <v>96</v>
      </c>
      <c r="C108" s="12" t="s">
        <v>55</v>
      </c>
      <c r="D108" s="15">
        <v>1850</v>
      </c>
      <c r="E108" s="15">
        <v>10</v>
      </c>
      <c r="F108" s="15">
        <v>10</v>
      </c>
      <c r="G108" s="15">
        <f t="shared" si="3"/>
        <v>185</v>
      </c>
    </row>
    <row r="109" spans="1:7" ht="20.149999999999999" customHeight="1" x14ac:dyDescent="0.35">
      <c r="A109" s="2">
        <f t="shared" si="4"/>
        <v>97</v>
      </c>
      <c r="B109" s="14">
        <v>97</v>
      </c>
      <c r="C109" s="12" t="s">
        <v>209</v>
      </c>
      <c r="D109" s="15">
        <v>1840</v>
      </c>
      <c r="E109" s="15">
        <v>12</v>
      </c>
      <c r="F109" s="15">
        <v>12</v>
      </c>
      <c r="G109" s="15">
        <f t="shared" ref="G109:G140" si="5">IFERROR(D109/F109,0)</f>
        <v>153.33333333333334</v>
      </c>
    </row>
    <row r="110" spans="1:7" ht="20.149999999999999" customHeight="1" x14ac:dyDescent="0.35">
      <c r="A110" s="2">
        <f t="shared" si="4"/>
        <v>98</v>
      </c>
      <c r="B110" s="14">
        <v>98</v>
      </c>
      <c r="C110" s="12" t="s">
        <v>12</v>
      </c>
      <c r="D110" s="15">
        <v>1840</v>
      </c>
      <c r="E110" s="15">
        <v>10</v>
      </c>
      <c r="F110" s="15">
        <v>10</v>
      </c>
      <c r="G110" s="15">
        <f t="shared" si="5"/>
        <v>184</v>
      </c>
    </row>
    <row r="111" spans="1:7" ht="20.149999999999999" customHeight="1" x14ac:dyDescent="0.35">
      <c r="A111" s="2">
        <f t="shared" si="4"/>
        <v>99</v>
      </c>
      <c r="B111" s="14">
        <v>99</v>
      </c>
      <c r="C111" s="12" t="s">
        <v>74</v>
      </c>
      <c r="D111" s="15">
        <v>1840</v>
      </c>
      <c r="E111" s="15">
        <v>10</v>
      </c>
      <c r="F111" s="15">
        <v>10</v>
      </c>
      <c r="G111" s="15">
        <f t="shared" si="5"/>
        <v>184</v>
      </c>
    </row>
    <row r="112" spans="1:7" ht="20.149999999999999" customHeight="1" x14ac:dyDescent="0.35">
      <c r="A112" s="2">
        <f t="shared" si="4"/>
        <v>100</v>
      </c>
      <c r="B112" s="14">
        <v>100</v>
      </c>
      <c r="C112" s="12" t="s">
        <v>233</v>
      </c>
      <c r="D112" s="15">
        <v>1830</v>
      </c>
      <c r="E112" s="15">
        <v>10</v>
      </c>
      <c r="F112" s="15">
        <v>10</v>
      </c>
      <c r="G112" s="15">
        <f t="shared" si="5"/>
        <v>183</v>
      </c>
    </row>
    <row r="113" spans="1:7" ht="20.149999999999999" customHeight="1" x14ac:dyDescent="0.35">
      <c r="A113" s="2">
        <f t="shared" si="4"/>
        <v>101</v>
      </c>
      <c r="B113" s="14">
        <v>101</v>
      </c>
      <c r="C113" s="12" t="s">
        <v>24</v>
      </c>
      <c r="D113" s="15">
        <v>1820</v>
      </c>
      <c r="E113" s="15">
        <v>12</v>
      </c>
      <c r="F113" s="15">
        <v>12</v>
      </c>
      <c r="G113" s="15">
        <f t="shared" si="5"/>
        <v>151.66666666666666</v>
      </c>
    </row>
    <row r="114" spans="1:7" ht="20.149999999999999" customHeight="1" x14ac:dyDescent="0.35">
      <c r="A114" s="2">
        <f t="shared" si="4"/>
        <v>102</v>
      </c>
      <c r="B114" s="14">
        <v>102</v>
      </c>
      <c r="C114" s="13" t="s">
        <v>108</v>
      </c>
      <c r="D114" s="15">
        <v>1820</v>
      </c>
      <c r="E114" s="15">
        <v>12</v>
      </c>
      <c r="F114" s="15">
        <v>12</v>
      </c>
      <c r="G114" s="15">
        <f t="shared" si="5"/>
        <v>151.66666666666666</v>
      </c>
    </row>
    <row r="115" spans="1:7" ht="20.149999999999999" customHeight="1" x14ac:dyDescent="0.35">
      <c r="A115" s="2">
        <f t="shared" si="4"/>
        <v>103</v>
      </c>
      <c r="B115" s="14">
        <v>103</v>
      </c>
      <c r="C115" s="12" t="s">
        <v>94</v>
      </c>
      <c r="D115" s="15">
        <v>1820</v>
      </c>
      <c r="E115" s="15">
        <v>10</v>
      </c>
      <c r="F115" s="15">
        <v>10</v>
      </c>
      <c r="G115" s="15">
        <f t="shared" si="5"/>
        <v>182</v>
      </c>
    </row>
    <row r="116" spans="1:7" ht="20.149999999999999" customHeight="1" x14ac:dyDescent="0.35">
      <c r="A116" s="2">
        <f t="shared" si="4"/>
        <v>104</v>
      </c>
      <c r="B116" s="14">
        <v>104</v>
      </c>
      <c r="C116" s="12" t="s">
        <v>166</v>
      </c>
      <c r="D116" s="15">
        <v>1820</v>
      </c>
      <c r="E116" s="15">
        <v>9</v>
      </c>
      <c r="F116" s="15">
        <v>9</v>
      </c>
      <c r="G116" s="15">
        <f t="shared" si="5"/>
        <v>202.22222222222223</v>
      </c>
    </row>
    <row r="117" spans="1:7" ht="20.149999999999999" customHeight="1" x14ac:dyDescent="0.35">
      <c r="A117" s="2">
        <f t="shared" si="4"/>
        <v>105</v>
      </c>
      <c r="B117" s="14">
        <v>105</v>
      </c>
      <c r="C117" s="12" t="s">
        <v>234</v>
      </c>
      <c r="D117" s="15">
        <v>1820</v>
      </c>
      <c r="E117" s="15">
        <v>9</v>
      </c>
      <c r="F117" s="15">
        <v>9</v>
      </c>
      <c r="G117" s="15">
        <f t="shared" si="5"/>
        <v>202.22222222222223</v>
      </c>
    </row>
    <row r="118" spans="1:7" ht="20.149999999999999" customHeight="1" x14ac:dyDescent="0.35">
      <c r="A118" s="2">
        <f t="shared" si="4"/>
        <v>106</v>
      </c>
      <c r="B118" s="14">
        <v>106</v>
      </c>
      <c r="C118" s="12" t="s">
        <v>165</v>
      </c>
      <c r="D118" s="15">
        <v>1810</v>
      </c>
      <c r="E118" s="15">
        <v>11</v>
      </c>
      <c r="F118" s="15">
        <v>11</v>
      </c>
      <c r="G118" s="15">
        <f t="shared" si="5"/>
        <v>164.54545454545453</v>
      </c>
    </row>
    <row r="119" spans="1:7" ht="20.149999999999999" customHeight="1" x14ac:dyDescent="0.35">
      <c r="A119" s="2">
        <f t="shared" si="4"/>
        <v>107</v>
      </c>
      <c r="B119" s="14">
        <v>107</v>
      </c>
      <c r="C119" s="12" t="s">
        <v>190</v>
      </c>
      <c r="D119" s="15">
        <v>1810</v>
      </c>
      <c r="E119" s="15">
        <v>9</v>
      </c>
      <c r="F119" s="15">
        <v>9</v>
      </c>
      <c r="G119" s="15">
        <f t="shared" si="5"/>
        <v>201.11111111111111</v>
      </c>
    </row>
    <row r="120" spans="1:7" ht="20.149999999999999" customHeight="1" x14ac:dyDescent="0.35">
      <c r="A120" s="2">
        <f t="shared" si="4"/>
        <v>108</v>
      </c>
      <c r="B120" s="14">
        <v>108</v>
      </c>
      <c r="C120" s="12" t="s">
        <v>183</v>
      </c>
      <c r="D120" s="15">
        <v>1800</v>
      </c>
      <c r="E120" s="15">
        <v>12</v>
      </c>
      <c r="F120" s="15">
        <v>12</v>
      </c>
      <c r="G120" s="15">
        <f t="shared" si="5"/>
        <v>150</v>
      </c>
    </row>
    <row r="121" spans="1:7" ht="20.149999999999999" customHeight="1" x14ac:dyDescent="0.35">
      <c r="A121" s="2">
        <f t="shared" si="4"/>
        <v>109</v>
      </c>
      <c r="B121" s="14">
        <v>109</v>
      </c>
      <c r="C121" s="12" t="s">
        <v>186</v>
      </c>
      <c r="D121" s="15">
        <v>1800</v>
      </c>
      <c r="E121" s="15">
        <v>12</v>
      </c>
      <c r="F121" s="15">
        <v>12</v>
      </c>
      <c r="G121" s="15">
        <f t="shared" si="5"/>
        <v>150</v>
      </c>
    </row>
    <row r="122" spans="1:7" ht="20.149999999999999" customHeight="1" x14ac:dyDescent="0.35">
      <c r="A122" s="2">
        <f t="shared" si="4"/>
        <v>110</v>
      </c>
      <c r="B122" s="14">
        <v>110</v>
      </c>
      <c r="C122" s="12" t="s">
        <v>187</v>
      </c>
      <c r="D122" s="15">
        <v>1800</v>
      </c>
      <c r="E122" s="15">
        <v>12</v>
      </c>
      <c r="F122" s="15">
        <v>12</v>
      </c>
      <c r="G122" s="15">
        <f t="shared" si="5"/>
        <v>150</v>
      </c>
    </row>
    <row r="123" spans="1:7" ht="20.149999999999999" customHeight="1" x14ac:dyDescent="0.35">
      <c r="A123" s="2">
        <f t="shared" si="4"/>
        <v>111</v>
      </c>
      <c r="B123" s="14">
        <v>111</v>
      </c>
      <c r="C123" s="12" t="s">
        <v>53</v>
      </c>
      <c r="D123" s="15">
        <v>1800</v>
      </c>
      <c r="E123" s="15">
        <v>11</v>
      </c>
      <c r="F123" s="15">
        <v>11</v>
      </c>
      <c r="G123" s="15">
        <f t="shared" si="5"/>
        <v>163.63636363636363</v>
      </c>
    </row>
    <row r="124" spans="1:7" ht="20.149999999999999" customHeight="1" x14ac:dyDescent="0.35">
      <c r="A124" s="2">
        <f t="shared" si="4"/>
        <v>112</v>
      </c>
      <c r="B124" s="14">
        <v>112</v>
      </c>
      <c r="C124" s="12" t="s">
        <v>122</v>
      </c>
      <c r="D124" s="15">
        <v>1800</v>
      </c>
      <c r="E124" s="15">
        <v>11</v>
      </c>
      <c r="F124" s="15">
        <v>11</v>
      </c>
      <c r="G124" s="15">
        <f t="shared" si="5"/>
        <v>163.63636363636363</v>
      </c>
    </row>
    <row r="125" spans="1:7" ht="20.149999999999999" customHeight="1" x14ac:dyDescent="0.35">
      <c r="A125" s="2">
        <f t="shared" si="4"/>
        <v>113</v>
      </c>
      <c r="B125" s="14">
        <v>113</v>
      </c>
      <c r="C125" s="12" t="s">
        <v>31</v>
      </c>
      <c r="D125" s="15">
        <v>1780</v>
      </c>
      <c r="E125" s="15">
        <v>10</v>
      </c>
      <c r="F125" s="15">
        <v>10</v>
      </c>
      <c r="G125" s="15">
        <f t="shared" si="5"/>
        <v>178</v>
      </c>
    </row>
    <row r="126" spans="1:7" ht="20.149999999999999" customHeight="1" x14ac:dyDescent="0.35">
      <c r="A126" s="2">
        <f t="shared" si="4"/>
        <v>114</v>
      </c>
      <c r="B126" s="14">
        <v>114</v>
      </c>
      <c r="C126" s="12" t="s">
        <v>112</v>
      </c>
      <c r="D126" s="15">
        <v>1460</v>
      </c>
      <c r="E126" s="15">
        <v>11</v>
      </c>
      <c r="F126" s="15">
        <v>11</v>
      </c>
      <c r="G126" s="15">
        <f t="shared" si="5"/>
        <v>132.72727272727272</v>
      </c>
    </row>
    <row r="127" spans="1:7" ht="20.149999999999999" customHeight="1" x14ac:dyDescent="0.35">
      <c r="A127" s="2">
        <f t="shared" si="4"/>
        <v>115</v>
      </c>
      <c r="B127" s="14">
        <v>115</v>
      </c>
      <c r="C127" s="12" t="s">
        <v>101</v>
      </c>
      <c r="D127" s="15">
        <v>1460</v>
      </c>
      <c r="E127" s="15">
        <v>7</v>
      </c>
      <c r="F127" s="15">
        <v>7</v>
      </c>
      <c r="G127" s="15">
        <f t="shared" si="5"/>
        <v>208.57142857142858</v>
      </c>
    </row>
    <row r="128" spans="1:7" ht="20.149999999999999" customHeight="1" x14ac:dyDescent="0.35">
      <c r="A128" s="2">
        <f t="shared" si="4"/>
        <v>116</v>
      </c>
      <c r="B128" s="14">
        <v>116</v>
      </c>
      <c r="C128" s="12" t="s">
        <v>111</v>
      </c>
      <c r="D128" s="15">
        <v>1420</v>
      </c>
      <c r="E128" s="15">
        <v>9</v>
      </c>
      <c r="F128" s="15">
        <v>9</v>
      </c>
      <c r="G128" s="15">
        <f t="shared" si="5"/>
        <v>157.77777777777777</v>
      </c>
    </row>
    <row r="129" spans="1:7" ht="20.149999999999999" customHeight="1" x14ac:dyDescent="0.35">
      <c r="A129" s="2">
        <f t="shared" si="4"/>
        <v>117</v>
      </c>
      <c r="B129" s="14">
        <v>117</v>
      </c>
      <c r="C129" s="12" t="s">
        <v>143</v>
      </c>
      <c r="D129" s="15">
        <v>1420</v>
      </c>
      <c r="E129" s="15">
        <v>7</v>
      </c>
      <c r="F129" s="15">
        <v>7</v>
      </c>
      <c r="G129" s="15">
        <f t="shared" si="5"/>
        <v>202.85714285714286</v>
      </c>
    </row>
    <row r="130" spans="1:7" ht="20.149999999999999" customHeight="1" x14ac:dyDescent="0.35">
      <c r="A130" s="2">
        <f t="shared" si="4"/>
        <v>118</v>
      </c>
      <c r="B130" s="14">
        <v>118</v>
      </c>
      <c r="C130" s="12" t="s">
        <v>144</v>
      </c>
      <c r="D130" s="15">
        <v>1400</v>
      </c>
      <c r="E130" s="15">
        <v>11</v>
      </c>
      <c r="F130" s="15">
        <v>11</v>
      </c>
      <c r="G130" s="15">
        <f t="shared" si="5"/>
        <v>127.27272727272727</v>
      </c>
    </row>
    <row r="131" spans="1:7" ht="20.149999999999999" customHeight="1" x14ac:dyDescent="0.35">
      <c r="A131" s="2">
        <f t="shared" si="4"/>
        <v>119</v>
      </c>
      <c r="B131" s="14">
        <v>119</v>
      </c>
      <c r="C131" s="12" t="s">
        <v>123</v>
      </c>
      <c r="D131" s="15">
        <v>1380</v>
      </c>
      <c r="E131" s="15">
        <v>10</v>
      </c>
      <c r="F131" s="15">
        <v>10</v>
      </c>
      <c r="G131" s="15">
        <f t="shared" si="5"/>
        <v>138</v>
      </c>
    </row>
    <row r="132" spans="1:7" ht="20.149999999999999" customHeight="1" x14ac:dyDescent="0.35">
      <c r="A132" s="2">
        <f t="shared" si="4"/>
        <v>120</v>
      </c>
      <c r="B132" s="14">
        <v>120</v>
      </c>
      <c r="C132" s="12" t="s">
        <v>90</v>
      </c>
      <c r="D132" s="15">
        <v>1380</v>
      </c>
      <c r="E132" s="15">
        <v>8</v>
      </c>
      <c r="F132" s="15">
        <v>8</v>
      </c>
      <c r="G132" s="15">
        <f t="shared" si="5"/>
        <v>172.5</v>
      </c>
    </row>
    <row r="133" spans="1:7" ht="20.149999999999999" customHeight="1" x14ac:dyDescent="0.35">
      <c r="A133" s="2">
        <f t="shared" si="4"/>
        <v>121</v>
      </c>
      <c r="B133" s="14">
        <v>121</v>
      </c>
      <c r="C133" s="12" t="s">
        <v>164</v>
      </c>
      <c r="D133" s="15">
        <v>1340</v>
      </c>
      <c r="E133" s="15">
        <v>7</v>
      </c>
      <c r="F133" s="15">
        <v>7</v>
      </c>
      <c r="G133" s="15">
        <f t="shared" si="5"/>
        <v>191.42857142857142</v>
      </c>
    </row>
    <row r="134" spans="1:7" ht="20.149999999999999" customHeight="1" x14ac:dyDescent="0.35">
      <c r="A134" s="2">
        <f t="shared" si="4"/>
        <v>122</v>
      </c>
      <c r="B134" s="14">
        <v>122</v>
      </c>
      <c r="C134" s="12" t="s">
        <v>96</v>
      </c>
      <c r="D134" s="15">
        <v>1160</v>
      </c>
      <c r="E134" s="15">
        <v>7</v>
      </c>
      <c r="F134" s="15">
        <v>7</v>
      </c>
      <c r="G134" s="15">
        <f t="shared" si="5"/>
        <v>165.71428571428572</v>
      </c>
    </row>
    <row r="135" spans="1:7" ht="20.149999999999999" customHeight="1" x14ac:dyDescent="0.35">
      <c r="A135" s="2">
        <f t="shared" si="4"/>
        <v>123</v>
      </c>
      <c r="B135" s="14">
        <v>123</v>
      </c>
      <c r="C135" s="12" t="s">
        <v>181</v>
      </c>
      <c r="D135" s="15">
        <v>1140</v>
      </c>
      <c r="E135" s="15">
        <v>7</v>
      </c>
      <c r="F135" s="15">
        <v>7</v>
      </c>
      <c r="G135" s="15">
        <f t="shared" si="5"/>
        <v>162.85714285714286</v>
      </c>
    </row>
    <row r="136" spans="1:7" ht="20.149999999999999" customHeight="1" x14ac:dyDescent="0.35">
      <c r="A136" s="2">
        <f t="shared" si="4"/>
        <v>124</v>
      </c>
      <c r="B136" s="14">
        <v>124</v>
      </c>
      <c r="C136" s="12" t="s">
        <v>110</v>
      </c>
      <c r="D136" s="15">
        <v>1100</v>
      </c>
      <c r="E136" s="15">
        <v>7</v>
      </c>
      <c r="F136" s="15">
        <v>7</v>
      </c>
      <c r="G136" s="15">
        <f t="shared" si="5"/>
        <v>157.14285714285714</v>
      </c>
    </row>
    <row r="137" spans="1:7" ht="20.149999999999999" customHeight="1" x14ac:dyDescent="0.35">
      <c r="A137" s="2">
        <f t="shared" si="4"/>
        <v>125</v>
      </c>
      <c r="B137" s="14">
        <v>125</v>
      </c>
      <c r="C137" s="12" t="s">
        <v>91</v>
      </c>
      <c r="D137" s="15">
        <v>1020</v>
      </c>
      <c r="E137" s="15">
        <v>9</v>
      </c>
      <c r="F137" s="15">
        <v>9</v>
      </c>
      <c r="G137" s="15">
        <f t="shared" si="5"/>
        <v>113.33333333333333</v>
      </c>
    </row>
    <row r="138" spans="1:7" ht="20.149999999999999" customHeight="1" x14ac:dyDescent="0.35">
      <c r="A138" s="2">
        <f t="shared" si="4"/>
        <v>126</v>
      </c>
      <c r="B138" s="14">
        <v>126</v>
      </c>
      <c r="C138" s="12" t="s">
        <v>160</v>
      </c>
      <c r="D138" s="15">
        <v>1020</v>
      </c>
      <c r="E138" s="15">
        <v>5</v>
      </c>
      <c r="F138" s="15">
        <v>5</v>
      </c>
      <c r="G138" s="15">
        <f t="shared" si="5"/>
        <v>204</v>
      </c>
    </row>
    <row r="139" spans="1:7" ht="20.149999999999999" customHeight="1" x14ac:dyDescent="0.35">
      <c r="A139" s="2">
        <f t="shared" si="4"/>
        <v>127</v>
      </c>
      <c r="B139" s="14">
        <v>127</v>
      </c>
      <c r="C139" s="12" t="s">
        <v>44</v>
      </c>
      <c r="D139" s="15">
        <v>800</v>
      </c>
      <c r="E139" s="15">
        <v>8</v>
      </c>
      <c r="F139" s="15">
        <v>8</v>
      </c>
      <c r="G139" s="15">
        <f t="shared" si="5"/>
        <v>100</v>
      </c>
    </row>
    <row r="140" spans="1:7" ht="20.149999999999999" customHeight="1" x14ac:dyDescent="0.35">
      <c r="A140" s="2">
        <f t="shared" si="4"/>
        <v>128</v>
      </c>
      <c r="B140" s="14">
        <v>128</v>
      </c>
      <c r="C140" s="12" t="s">
        <v>65</v>
      </c>
      <c r="D140" s="15">
        <v>660</v>
      </c>
      <c r="E140" s="15">
        <v>3</v>
      </c>
      <c r="F140" s="15">
        <v>3</v>
      </c>
      <c r="G140" s="15">
        <f t="shared" si="5"/>
        <v>220</v>
      </c>
    </row>
    <row r="141" spans="1:7" ht="20.149999999999999" customHeight="1" x14ac:dyDescent="0.35">
      <c r="A141" s="2">
        <f t="shared" si="4"/>
        <v>129</v>
      </c>
      <c r="B141" s="14">
        <v>129</v>
      </c>
      <c r="C141" s="12" t="s">
        <v>89</v>
      </c>
      <c r="D141" s="15">
        <v>0</v>
      </c>
      <c r="E141" s="15">
        <v>0</v>
      </c>
      <c r="F141" s="15">
        <v>0</v>
      </c>
      <c r="G141" s="15">
        <f t="shared" ref="G141:G144" si="6">IFERROR(D141/F141,0)</f>
        <v>0</v>
      </c>
    </row>
    <row r="142" spans="1:7" ht="20.149999999999999" customHeight="1" x14ac:dyDescent="0.35">
      <c r="A142" s="2">
        <f t="shared" ref="A142:A144" si="7">ROW(A130)</f>
        <v>130</v>
      </c>
      <c r="B142" s="14">
        <v>130</v>
      </c>
      <c r="C142" s="12" t="s">
        <v>235</v>
      </c>
      <c r="D142" s="15">
        <v>0</v>
      </c>
      <c r="E142" s="15">
        <v>0</v>
      </c>
      <c r="F142" s="15">
        <v>0</v>
      </c>
      <c r="G142" s="15">
        <f t="shared" si="6"/>
        <v>0</v>
      </c>
    </row>
    <row r="143" spans="1:7" ht="20.149999999999999" customHeight="1" x14ac:dyDescent="0.35">
      <c r="A143" s="2">
        <f t="shared" si="7"/>
        <v>131</v>
      </c>
      <c r="B143" s="14">
        <v>131</v>
      </c>
      <c r="C143" s="12" t="s">
        <v>78</v>
      </c>
      <c r="D143" s="15">
        <v>0</v>
      </c>
      <c r="E143" s="15">
        <v>0</v>
      </c>
      <c r="F143" s="15">
        <v>0</v>
      </c>
      <c r="G143" s="15">
        <f t="shared" si="6"/>
        <v>0</v>
      </c>
    </row>
    <row r="144" spans="1:7" ht="20.149999999999999" customHeight="1" x14ac:dyDescent="0.35">
      <c r="A144" s="2">
        <f t="shared" si="7"/>
        <v>132</v>
      </c>
      <c r="B144" s="14">
        <v>132</v>
      </c>
      <c r="C144" s="12" t="s">
        <v>147</v>
      </c>
      <c r="D144" s="15">
        <v>0</v>
      </c>
      <c r="E144" s="15">
        <v>0</v>
      </c>
      <c r="F144" s="15">
        <v>0</v>
      </c>
      <c r="G144" s="15">
        <f t="shared" si="6"/>
        <v>0</v>
      </c>
    </row>
    <row r="145" spans="2:7" ht="20.149999999999999" customHeight="1" x14ac:dyDescent="0.35">
      <c r="B145" s="12" t="s">
        <v>131</v>
      </c>
      <c r="C145" s="12"/>
      <c r="D145" s="15">
        <f>SUBTOTAL(109,AllianceMobilization202603[Points
reached])</f>
        <v>286650</v>
      </c>
      <c r="E145" s="15">
        <f>SUBTOTAL(109,AllianceMobilization202603[Quests
started])</f>
        <v>1696</v>
      </c>
      <c r="F145" s="15">
        <f>SUBTOTAL(109,AllianceMobilization202603[Quests
completed])</f>
        <v>1698</v>
      </c>
      <c r="G145" s="16"/>
    </row>
    <row r="146" spans="2:7" ht="20.149999999999999" customHeight="1" x14ac:dyDescent="0.35">
      <c r="B146" s="5" t="s">
        <v>132</v>
      </c>
      <c r="C146" s="5"/>
      <c r="D146" s="6">
        <f>AVERAGE(D13:D144)</f>
        <v>2171.590909090909</v>
      </c>
      <c r="E146" s="6">
        <f>AVERAGE(E13:E144)</f>
        <v>12.848484848484848</v>
      </c>
      <c r="F146" s="6">
        <f>AVERAGE(F13:F144)</f>
        <v>12.863636363636363</v>
      </c>
      <c r="G146" s="6">
        <f>AVERAGE(G13:G144)</f>
        <v>164.08839739808479</v>
      </c>
    </row>
  </sheetData>
  <mergeCells count="7">
    <mergeCell ref="B3:C3"/>
    <mergeCell ref="B10:C10"/>
    <mergeCell ref="B4:C4"/>
    <mergeCell ref="B5:C5"/>
    <mergeCell ref="B6:C6"/>
    <mergeCell ref="B7:C7"/>
    <mergeCell ref="B9:C9"/>
  </mergeCells>
  <conditionalFormatting sqref="D13:D144">
    <cfRule type="cellIs" dxfId="14" priority="1" operator="lessThan">
      <formula>$D$10</formula>
    </cfRule>
    <cfRule type="cellIs" dxfId="13" priority="2" operator="greaterThan">
      <formula>$D$10</formula>
    </cfRule>
    <cfRule type="cellIs" dxfId="12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scale="72" fitToHeight="0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6375-831D-47D6-A7AD-A0294630DAE6}">
  <sheetPr>
    <pageSetUpPr fitToPage="1"/>
  </sheetPr>
  <dimension ref="A1:H133"/>
  <sheetViews>
    <sheetView topLeftCell="A48" zoomScaleNormal="100" workbookViewId="0">
      <selection activeCell="C68" sqref="C68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8" ht="24" customHeight="1" x14ac:dyDescent="0.35">
      <c r="B1" s="9" t="s">
        <v>342</v>
      </c>
      <c r="C1" s="10"/>
      <c r="D1" s="10"/>
    </row>
    <row r="2" spans="1:8" ht="20.149999999999999" customHeight="1" x14ac:dyDescent="0.35">
      <c r="B2" s="10"/>
      <c r="C2" s="10"/>
      <c r="D2" s="10"/>
    </row>
    <row r="3" spans="1:8" ht="20.149999999999999" customHeight="1" x14ac:dyDescent="0.35">
      <c r="B3" s="20" t="s">
        <v>236</v>
      </c>
      <c r="C3" s="20"/>
      <c r="D3" s="19">
        <v>3662</v>
      </c>
    </row>
    <row r="4" spans="1:8" ht="20.149999999999999" customHeight="1" x14ac:dyDescent="0.35">
      <c r="B4" s="20" t="s">
        <v>0</v>
      </c>
      <c r="C4" s="20"/>
      <c r="D4" s="10" t="s">
        <v>339</v>
      </c>
    </row>
    <row r="5" spans="1:8" ht="20.149999999999999" customHeight="1" x14ac:dyDescent="0.35">
      <c r="B5" s="20" t="s">
        <v>1</v>
      </c>
      <c r="C5" s="20"/>
      <c r="D5" s="10" t="s">
        <v>338</v>
      </c>
    </row>
    <row r="6" spans="1:8" ht="20.149999999999999" customHeight="1" x14ac:dyDescent="0.35">
      <c r="B6" s="20" t="s">
        <v>8</v>
      </c>
      <c r="C6" s="20"/>
      <c r="D6" s="11">
        <v>303250</v>
      </c>
    </row>
    <row r="7" spans="1:8" ht="20.149999999999999" customHeight="1" x14ac:dyDescent="0.35">
      <c r="B7" s="20" t="s">
        <v>6</v>
      </c>
      <c r="C7" s="20"/>
      <c r="D7" s="11" t="s">
        <v>341</v>
      </c>
      <c r="H7" s="19"/>
    </row>
    <row r="8" spans="1:8" ht="20.149999999999999" customHeight="1" x14ac:dyDescent="0.35">
      <c r="B8" s="3"/>
      <c r="C8" s="3" t="s">
        <v>210</v>
      </c>
      <c r="D8" s="11">
        <v>18</v>
      </c>
    </row>
    <row r="9" spans="1:8" ht="20.149999999999999" customHeight="1" x14ac:dyDescent="0.35">
      <c r="B9" s="20" t="s">
        <v>4</v>
      </c>
      <c r="C9" s="20"/>
      <c r="D9" s="10" t="s">
        <v>340</v>
      </c>
    </row>
    <row r="10" spans="1:8" ht="20.149999999999999" customHeight="1" x14ac:dyDescent="0.35">
      <c r="B10" s="20" t="s">
        <v>151</v>
      </c>
      <c r="C10" s="20"/>
      <c r="D10" s="11">
        <v>1800</v>
      </c>
    </row>
    <row r="11" spans="1:8" ht="20.149999999999999" customHeight="1" x14ac:dyDescent="0.35"/>
    <row r="12" spans="1:8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8" ht="20.149999999999999" customHeight="1" x14ac:dyDescent="0.35">
      <c r="A13" s="2">
        <f>ROW(A1)</f>
        <v>1</v>
      </c>
      <c r="B13" s="14">
        <v>1</v>
      </c>
      <c r="C13" s="12" t="s">
        <v>304</v>
      </c>
      <c r="D13" s="14">
        <v>6820</v>
      </c>
      <c r="E13" s="14">
        <v>33</v>
      </c>
      <c r="F13" s="14">
        <v>33</v>
      </c>
      <c r="G13" s="15">
        <f t="shared" ref="G13:G76" si="0">IFERROR(D13/F13,0)</f>
        <v>206.66666666666666</v>
      </c>
    </row>
    <row r="14" spans="1:8" ht="20.149999999999999" customHeight="1" x14ac:dyDescent="0.35">
      <c r="A14" s="2">
        <f t="shared" ref="A14:A77" si="1">ROW(A2)</f>
        <v>2</v>
      </c>
      <c r="B14" s="14">
        <v>2</v>
      </c>
      <c r="C14" s="12" t="s">
        <v>345</v>
      </c>
      <c r="D14" s="14">
        <v>6200</v>
      </c>
      <c r="E14" s="14">
        <v>33</v>
      </c>
      <c r="F14" s="14">
        <v>33</v>
      </c>
      <c r="G14" s="15">
        <f t="shared" si="0"/>
        <v>187.87878787878788</v>
      </c>
    </row>
    <row r="15" spans="1:8" ht="20.149999999999999" customHeight="1" x14ac:dyDescent="0.35">
      <c r="A15" s="2">
        <f t="shared" si="1"/>
        <v>3</v>
      </c>
      <c r="B15" s="14">
        <v>3</v>
      </c>
      <c r="C15" s="12" t="s">
        <v>268</v>
      </c>
      <c r="D15" s="14">
        <v>5400</v>
      </c>
      <c r="E15" s="14">
        <v>29</v>
      </c>
      <c r="F15" s="14">
        <v>29</v>
      </c>
      <c r="G15" s="15">
        <f t="shared" si="0"/>
        <v>186.20689655172413</v>
      </c>
    </row>
    <row r="16" spans="1:8" ht="20.149999999999999" customHeight="1" x14ac:dyDescent="0.35">
      <c r="A16" s="2">
        <f t="shared" si="1"/>
        <v>4</v>
      </c>
      <c r="B16" s="14">
        <v>4</v>
      </c>
      <c r="C16" s="12" t="s">
        <v>346</v>
      </c>
      <c r="D16" s="14">
        <v>5380</v>
      </c>
      <c r="E16" s="14">
        <v>25</v>
      </c>
      <c r="F16" s="14">
        <v>25</v>
      </c>
      <c r="G16" s="15">
        <f t="shared" si="0"/>
        <v>215.2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292</v>
      </c>
      <c r="D17" s="14">
        <v>5340</v>
      </c>
      <c r="E17" s="14">
        <v>27</v>
      </c>
      <c r="F17" s="14">
        <v>27</v>
      </c>
      <c r="G17" s="15">
        <f t="shared" si="0"/>
        <v>197.77777777777777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249</v>
      </c>
      <c r="D18" s="14">
        <v>5260</v>
      </c>
      <c r="E18" s="14">
        <v>26</v>
      </c>
      <c r="F18" s="14">
        <v>26</v>
      </c>
      <c r="G18" s="15">
        <f t="shared" si="0"/>
        <v>202.30769230769232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347</v>
      </c>
      <c r="D19" s="14">
        <v>5210</v>
      </c>
      <c r="E19" s="14">
        <v>28</v>
      </c>
      <c r="F19" s="14">
        <v>28</v>
      </c>
      <c r="G19" s="15">
        <f t="shared" si="0"/>
        <v>186.07142857142858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24</v>
      </c>
      <c r="D20" s="14">
        <v>4920</v>
      </c>
      <c r="E20" s="14">
        <v>23</v>
      </c>
      <c r="F20" s="14">
        <v>23</v>
      </c>
      <c r="G20" s="15">
        <f t="shared" si="0"/>
        <v>213.91304347826087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379</v>
      </c>
      <c r="D21" s="14">
        <v>4660</v>
      </c>
      <c r="E21" s="14">
        <v>24</v>
      </c>
      <c r="F21" s="14">
        <v>24</v>
      </c>
      <c r="G21" s="15">
        <f t="shared" si="0"/>
        <v>194.16666666666666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14</v>
      </c>
      <c r="D22" s="14">
        <v>4360</v>
      </c>
      <c r="E22" s="14">
        <v>23</v>
      </c>
      <c r="F22" s="14">
        <v>23</v>
      </c>
      <c r="G22" s="15">
        <f t="shared" si="0"/>
        <v>189.56521739130434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15</v>
      </c>
      <c r="D23" s="14">
        <v>4300</v>
      </c>
      <c r="E23" s="14">
        <v>20</v>
      </c>
      <c r="F23" s="14">
        <v>20</v>
      </c>
      <c r="G23" s="15">
        <f t="shared" si="0"/>
        <v>215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164</v>
      </c>
      <c r="D24" s="14">
        <v>4100</v>
      </c>
      <c r="E24" s="14">
        <v>21</v>
      </c>
      <c r="F24" s="14">
        <v>21</v>
      </c>
      <c r="G24" s="15">
        <f t="shared" si="0"/>
        <v>195.23809523809524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118</v>
      </c>
      <c r="D25" s="14">
        <v>4040</v>
      </c>
      <c r="E25" s="14">
        <v>18</v>
      </c>
      <c r="F25" s="14">
        <v>18</v>
      </c>
      <c r="G25" s="15">
        <f t="shared" si="0"/>
        <v>224.44444444444446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326</v>
      </c>
      <c r="D26" s="14">
        <v>3940</v>
      </c>
      <c r="E26" s="14">
        <v>19</v>
      </c>
      <c r="F26" s="14">
        <v>19</v>
      </c>
      <c r="G26" s="15">
        <f t="shared" si="0"/>
        <v>207.36842105263159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260</v>
      </c>
      <c r="D27" s="14">
        <v>3820</v>
      </c>
      <c r="E27" s="14">
        <v>22</v>
      </c>
      <c r="F27" s="14">
        <v>22</v>
      </c>
      <c r="G27" s="15">
        <f t="shared" si="0"/>
        <v>173.63636363636363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204</v>
      </c>
      <c r="D28" s="14">
        <v>3720</v>
      </c>
      <c r="E28" s="14">
        <v>19</v>
      </c>
      <c r="F28" s="14">
        <v>19</v>
      </c>
      <c r="G28" s="15">
        <f t="shared" si="0"/>
        <v>195.78947368421052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51</v>
      </c>
      <c r="D29" s="14">
        <v>3540</v>
      </c>
      <c r="E29" s="14">
        <v>17</v>
      </c>
      <c r="F29" s="14">
        <v>17</v>
      </c>
      <c r="G29" s="15">
        <f t="shared" si="0"/>
        <v>208.23529411764707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23</v>
      </c>
      <c r="D30" s="14">
        <v>3500</v>
      </c>
      <c r="E30" s="14">
        <v>17</v>
      </c>
      <c r="F30" s="14">
        <v>17</v>
      </c>
      <c r="G30" s="15">
        <f t="shared" si="0"/>
        <v>205.88235294117646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263</v>
      </c>
      <c r="D31" s="14">
        <v>3490</v>
      </c>
      <c r="E31" s="14">
        <v>18</v>
      </c>
      <c r="F31" s="14">
        <v>18</v>
      </c>
      <c r="G31" s="15">
        <f t="shared" si="0"/>
        <v>193.88888888888889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61</v>
      </c>
      <c r="D32" s="14">
        <v>3380</v>
      </c>
      <c r="E32" s="14">
        <v>19</v>
      </c>
      <c r="F32" s="14">
        <v>19</v>
      </c>
      <c r="G32" s="15">
        <f t="shared" si="0"/>
        <v>177.89473684210526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64</v>
      </c>
      <c r="D33" s="14">
        <v>3300</v>
      </c>
      <c r="E33" s="14">
        <v>20</v>
      </c>
      <c r="F33" s="14">
        <v>20</v>
      </c>
      <c r="G33" s="15">
        <f t="shared" si="0"/>
        <v>165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115</v>
      </c>
      <c r="D34" s="14">
        <v>3170</v>
      </c>
      <c r="E34" s="14">
        <v>17</v>
      </c>
      <c r="F34" s="14">
        <v>17</v>
      </c>
      <c r="G34" s="15">
        <f t="shared" si="0"/>
        <v>186.47058823529412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290</v>
      </c>
      <c r="D35" s="14">
        <v>3150</v>
      </c>
      <c r="E35" s="14">
        <v>19</v>
      </c>
      <c r="F35" s="14">
        <v>19</v>
      </c>
      <c r="G35" s="15">
        <f t="shared" si="0"/>
        <v>165.78947368421052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169</v>
      </c>
      <c r="D36" s="14">
        <v>3140</v>
      </c>
      <c r="E36" s="14">
        <v>18</v>
      </c>
      <c r="F36" s="14">
        <v>18</v>
      </c>
      <c r="G36" s="15">
        <f t="shared" si="0"/>
        <v>174.44444444444446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179</v>
      </c>
      <c r="D37" s="14">
        <v>3140</v>
      </c>
      <c r="E37" s="14">
        <v>17</v>
      </c>
      <c r="F37" s="14">
        <v>17</v>
      </c>
      <c r="G37" s="15">
        <f t="shared" si="0"/>
        <v>184.70588235294119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261</v>
      </c>
      <c r="D38" s="14">
        <v>3040</v>
      </c>
      <c r="E38" s="14">
        <v>18</v>
      </c>
      <c r="F38" s="14">
        <v>18</v>
      </c>
      <c r="G38" s="15">
        <f t="shared" si="0"/>
        <v>168.88888888888889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34</v>
      </c>
      <c r="D39" s="14">
        <v>3000</v>
      </c>
      <c r="E39" s="14">
        <v>16</v>
      </c>
      <c r="F39" s="14">
        <v>16</v>
      </c>
      <c r="G39" s="15">
        <f t="shared" si="0"/>
        <v>187.5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286</v>
      </c>
      <c r="D40" s="14">
        <v>3000</v>
      </c>
      <c r="E40" s="14">
        <v>15</v>
      </c>
      <c r="F40" s="14">
        <v>15</v>
      </c>
      <c r="G40" s="15">
        <f t="shared" si="0"/>
        <v>200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227</v>
      </c>
      <c r="D41" s="14">
        <v>2990</v>
      </c>
      <c r="E41" s="14">
        <v>17</v>
      </c>
      <c r="F41" s="14">
        <v>17</v>
      </c>
      <c r="G41" s="15">
        <f t="shared" si="0"/>
        <v>175.88235294117646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107</v>
      </c>
      <c r="D42" s="14">
        <v>2940</v>
      </c>
      <c r="E42" s="14">
        <v>18</v>
      </c>
      <c r="F42" s="14">
        <v>18</v>
      </c>
      <c r="G42" s="15">
        <f t="shared" si="0"/>
        <v>163.33333333333334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17</v>
      </c>
      <c r="D43" s="14">
        <v>2850</v>
      </c>
      <c r="E43" s="14">
        <v>15</v>
      </c>
      <c r="F43" s="14">
        <v>15</v>
      </c>
      <c r="G43" s="15">
        <f t="shared" si="0"/>
        <v>190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26</v>
      </c>
      <c r="D44" s="14">
        <v>2800</v>
      </c>
      <c r="E44" s="14">
        <v>16</v>
      </c>
      <c r="F44" s="14">
        <v>16</v>
      </c>
      <c r="G44" s="15">
        <f t="shared" si="0"/>
        <v>175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266</v>
      </c>
      <c r="D45" s="14">
        <v>2750</v>
      </c>
      <c r="E45" s="14">
        <v>15</v>
      </c>
      <c r="F45" s="14">
        <v>15</v>
      </c>
      <c r="G45" s="15">
        <f t="shared" si="0"/>
        <v>183.33333333333334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281</v>
      </c>
      <c r="D46" s="14">
        <v>2740</v>
      </c>
      <c r="E46" s="14">
        <v>17</v>
      </c>
      <c r="F46" s="14">
        <v>17</v>
      </c>
      <c r="G46" s="15">
        <f t="shared" si="0"/>
        <v>161.1764705882353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180</v>
      </c>
      <c r="D47" s="14">
        <v>2730</v>
      </c>
      <c r="E47" s="14">
        <v>15</v>
      </c>
      <c r="F47" s="14">
        <v>15</v>
      </c>
      <c r="G47" s="15">
        <f t="shared" si="0"/>
        <v>182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248</v>
      </c>
      <c r="D48" s="14">
        <v>2720</v>
      </c>
      <c r="E48" s="14">
        <v>15</v>
      </c>
      <c r="F48" s="14">
        <v>16</v>
      </c>
      <c r="G48" s="15">
        <f t="shared" si="0"/>
        <v>170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77</v>
      </c>
      <c r="D49" s="14">
        <v>2700</v>
      </c>
      <c r="E49" s="14">
        <v>14</v>
      </c>
      <c r="F49" s="14">
        <v>14</v>
      </c>
      <c r="G49" s="15">
        <f t="shared" si="0"/>
        <v>192.85714285714286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205</v>
      </c>
      <c r="D50" s="14">
        <v>2680</v>
      </c>
      <c r="E50" s="14">
        <v>14</v>
      </c>
      <c r="F50" s="14">
        <v>14</v>
      </c>
      <c r="G50" s="15">
        <f t="shared" si="0"/>
        <v>191.42857142857142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245</v>
      </c>
      <c r="D51" s="14">
        <v>2670</v>
      </c>
      <c r="E51" s="14">
        <v>18</v>
      </c>
      <c r="F51" s="14">
        <v>18</v>
      </c>
      <c r="G51" s="15">
        <f t="shared" si="0"/>
        <v>148.33333333333334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109</v>
      </c>
      <c r="D52" s="14">
        <v>2670</v>
      </c>
      <c r="E52" s="14">
        <v>17</v>
      </c>
      <c r="F52" s="14">
        <v>17</v>
      </c>
      <c r="G52" s="15">
        <f t="shared" si="0"/>
        <v>157.05882352941177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37</v>
      </c>
      <c r="D53" s="14">
        <v>2660</v>
      </c>
      <c r="E53" s="14">
        <v>14</v>
      </c>
      <c r="F53" s="14">
        <v>14</v>
      </c>
      <c r="G53" s="15">
        <f t="shared" si="0"/>
        <v>190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178</v>
      </c>
      <c r="D54" s="14">
        <v>2660</v>
      </c>
      <c r="E54" s="14">
        <v>13</v>
      </c>
      <c r="F54" s="14">
        <v>13</v>
      </c>
      <c r="G54" s="15">
        <f t="shared" si="0"/>
        <v>204.61538461538461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322</v>
      </c>
      <c r="D55" s="14">
        <v>2610</v>
      </c>
      <c r="E55" s="14">
        <v>15</v>
      </c>
      <c r="F55" s="14">
        <v>15</v>
      </c>
      <c r="G55" s="15">
        <f t="shared" si="0"/>
        <v>174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273</v>
      </c>
      <c r="D56" s="14">
        <v>2600</v>
      </c>
      <c r="E56" s="14">
        <v>18</v>
      </c>
      <c r="F56" s="14">
        <v>18</v>
      </c>
      <c r="G56" s="15">
        <f t="shared" si="0"/>
        <v>144.44444444444446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288</v>
      </c>
      <c r="D57" s="14">
        <v>2600</v>
      </c>
      <c r="E57" s="14">
        <v>15</v>
      </c>
      <c r="F57" s="14">
        <v>15</v>
      </c>
      <c r="G57" s="15">
        <f t="shared" si="0"/>
        <v>173.33333333333334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159</v>
      </c>
      <c r="D58" s="14">
        <v>2570</v>
      </c>
      <c r="E58" s="14">
        <v>15</v>
      </c>
      <c r="F58" s="14">
        <v>15</v>
      </c>
      <c r="G58" s="15">
        <f t="shared" si="0"/>
        <v>171.33333333333334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256</v>
      </c>
      <c r="D59" s="14">
        <v>2540</v>
      </c>
      <c r="E59" s="14">
        <v>15</v>
      </c>
      <c r="F59" s="14">
        <v>15</v>
      </c>
      <c r="G59" s="15">
        <f t="shared" si="0"/>
        <v>169.33333333333334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140</v>
      </c>
      <c r="D60" s="14">
        <v>2520</v>
      </c>
      <c r="E60" s="14">
        <v>15</v>
      </c>
      <c r="F60" s="14">
        <v>15</v>
      </c>
      <c r="G60" s="15">
        <f t="shared" si="0"/>
        <v>168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18</v>
      </c>
      <c r="D61" s="14">
        <v>2520</v>
      </c>
      <c r="E61" s="14">
        <v>13</v>
      </c>
      <c r="F61" s="14">
        <v>13</v>
      </c>
      <c r="G61" s="15">
        <f t="shared" si="0"/>
        <v>193.84615384615384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166</v>
      </c>
      <c r="D62" s="14">
        <v>2520</v>
      </c>
      <c r="E62" s="14">
        <v>12</v>
      </c>
      <c r="F62" s="14">
        <v>12</v>
      </c>
      <c r="G62" s="15">
        <f t="shared" si="0"/>
        <v>210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343</v>
      </c>
      <c r="D63" s="14">
        <v>2500</v>
      </c>
      <c r="E63" s="14">
        <v>19</v>
      </c>
      <c r="F63" s="14">
        <v>19</v>
      </c>
      <c r="G63" s="15">
        <f t="shared" si="0"/>
        <v>131.57894736842104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244</v>
      </c>
      <c r="D64" s="14">
        <v>2480</v>
      </c>
      <c r="E64" s="14">
        <v>15</v>
      </c>
      <c r="F64" s="14">
        <v>15</v>
      </c>
      <c r="G64" s="15">
        <f t="shared" si="0"/>
        <v>165.33333333333334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192</v>
      </c>
      <c r="D65" s="14">
        <v>2460</v>
      </c>
      <c r="E65" s="14">
        <v>13</v>
      </c>
      <c r="F65" s="14">
        <v>13</v>
      </c>
      <c r="G65" s="15">
        <f t="shared" si="0"/>
        <v>189.23076923076923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202</v>
      </c>
      <c r="D66" s="14">
        <v>2440</v>
      </c>
      <c r="E66" s="14">
        <v>12</v>
      </c>
      <c r="F66" s="14">
        <v>12</v>
      </c>
      <c r="G66" s="15">
        <f t="shared" si="0"/>
        <v>203.33333333333334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42</v>
      </c>
      <c r="D67" s="14">
        <v>2420</v>
      </c>
      <c r="E67" s="14">
        <v>15</v>
      </c>
      <c r="F67" s="14">
        <v>15</v>
      </c>
      <c r="G67" s="15">
        <f t="shared" si="0"/>
        <v>161.33333333333334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84</v>
      </c>
      <c r="D68" s="14">
        <v>2380</v>
      </c>
      <c r="E68" s="14">
        <v>15</v>
      </c>
      <c r="F68" s="14">
        <v>15</v>
      </c>
      <c r="G68" s="15">
        <f t="shared" si="0"/>
        <v>158.66666666666666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187</v>
      </c>
      <c r="D69" s="14">
        <v>2380</v>
      </c>
      <c r="E69" s="14">
        <v>13</v>
      </c>
      <c r="F69" s="14">
        <v>13</v>
      </c>
      <c r="G69" s="15">
        <f t="shared" si="0"/>
        <v>183.07692307692307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344</v>
      </c>
      <c r="D70" s="14">
        <v>2360</v>
      </c>
      <c r="E70" s="14">
        <v>17</v>
      </c>
      <c r="F70" s="14">
        <v>17</v>
      </c>
      <c r="G70" s="15">
        <f t="shared" si="0"/>
        <v>138.8235294117647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167</v>
      </c>
      <c r="D71" s="14">
        <v>2360</v>
      </c>
      <c r="E71" s="14">
        <v>12</v>
      </c>
      <c r="F71" s="14">
        <v>12</v>
      </c>
      <c r="G71" s="15">
        <f t="shared" si="0"/>
        <v>196.66666666666666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13</v>
      </c>
      <c r="D72" s="14">
        <v>2340</v>
      </c>
      <c r="E72" s="14">
        <v>11</v>
      </c>
      <c r="F72" s="14">
        <v>11</v>
      </c>
      <c r="G72" s="15">
        <f t="shared" si="0"/>
        <v>212.72727272727272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285</v>
      </c>
      <c r="D73" s="14">
        <v>2320</v>
      </c>
      <c r="E73" s="14">
        <v>16</v>
      </c>
      <c r="F73" s="14">
        <v>16</v>
      </c>
      <c r="G73" s="15">
        <f t="shared" si="0"/>
        <v>145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321</v>
      </c>
      <c r="D74" s="14">
        <v>2320</v>
      </c>
      <c r="E74" s="14">
        <v>14</v>
      </c>
      <c r="F74" s="14">
        <v>14</v>
      </c>
      <c r="G74" s="15">
        <f t="shared" si="0"/>
        <v>165.71428571428572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168</v>
      </c>
      <c r="D75" s="14">
        <v>2320</v>
      </c>
      <c r="E75" s="14">
        <v>14</v>
      </c>
      <c r="F75" s="14">
        <v>14</v>
      </c>
      <c r="G75" s="15">
        <f t="shared" si="0"/>
        <v>165.71428571428572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54</v>
      </c>
      <c r="D76" s="14">
        <v>2300</v>
      </c>
      <c r="E76" s="14">
        <v>18</v>
      </c>
      <c r="F76" s="14">
        <v>18</v>
      </c>
      <c r="G76" s="15">
        <f t="shared" si="0"/>
        <v>127.77777777777777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325</v>
      </c>
      <c r="D77" s="14">
        <v>2300</v>
      </c>
      <c r="E77" s="14">
        <v>16</v>
      </c>
      <c r="F77" s="14">
        <v>16</v>
      </c>
      <c r="G77" s="15">
        <f t="shared" ref="G77:G131" si="2">IFERROR(D77/F77,0)</f>
        <v>143.75</v>
      </c>
    </row>
    <row r="78" spans="1:7" ht="20.149999999999999" customHeight="1" x14ac:dyDescent="0.35">
      <c r="A78" s="2">
        <f t="shared" ref="A78:A131" si="3">ROW(A66)</f>
        <v>66</v>
      </c>
      <c r="B78" s="14">
        <v>66</v>
      </c>
      <c r="C78" s="12" t="s">
        <v>117</v>
      </c>
      <c r="D78" s="14">
        <v>2280</v>
      </c>
      <c r="E78" s="14">
        <v>18</v>
      </c>
      <c r="F78" s="14">
        <v>18</v>
      </c>
      <c r="G78" s="15">
        <f t="shared" si="2"/>
        <v>126.66666666666667</v>
      </c>
    </row>
    <row r="79" spans="1:7" ht="20.149999999999999" customHeight="1" x14ac:dyDescent="0.35">
      <c r="A79" s="2">
        <f t="shared" si="3"/>
        <v>67</v>
      </c>
      <c r="B79" s="14">
        <v>67</v>
      </c>
      <c r="C79" s="12" t="s">
        <v>276</v>
      </c>
      <c r="D79" s="14">
        <v>2270</v>
      </c>
      <c r="E79" s="14">
        <v>15</v>
      </c>
      <c r="F79" s="14">
        <v>15</v>
      </c>
      <c r="G79" s="15">
        <f t="shared" si="2"/>
        <v>151.33333333333334</v>
      </c>
    </row>
    <row r="80" spans="1:7" ht="20.149999999999999" customHeight="1" x14ac:dyDescent="0.35">
      <c r="A80" s="2">
        <f t="shared" si="3"/>
        <v>68</v>
      </c>
      <c r="B80" s="14">
        <v>68</v>
      </c>
      <c r="C80" s="12" t="s">
        <v>161</v>
      </c>
      <c r="D80" s="14">
        <v>2270</v>
      </c>
      <c r="E80" s="14">
        <v>14</v>
      </c>
      <c r="F80" s="14">
        <v>14</v>
      </c>
      <c r="G80" s="15">
        <f t="shared" si="2"/>
        <v>162.14285714285714</v>
      </c>
    </row>
    <row r="81" spans="1:7" ht="20.149999999999999" customHeight="1" x14ac:dyDescent="0.35">
      <c r="A81" s="2">
        <f t="shared" si="3"/>
        <v>69</v>
      </c>
      <c r="B81" s="14">
        <v>69</v>
      </c>
      <c r="C81" s="12" t="s">
        <v>19</v>
      </c>
      <c r="D81" s="14">
        <v>2250</v>
      </c>
      <c r="E81" s="14">
        <v>11</v>
      </c>
      <c r="F81" s="14">
        <v>11</v>
      </c>
      <c r="G81" s="15">
        <f t="shared" si="2"/>
        <v>204.54545454545453</v>
      </c>
    </row>
    <row r="82" spans="1:7" ht="20.149999999999999" customHeight="1" x14ac:dyDescent="0.35">
      <c r="A82" s="2">
        <f t="shared" si="3"/>
        <v>70</v>
      </c>
      <c r="B82" s="14">
        <v>70</v>
      </c>
      <c r="C82" s="12" t="s">
        <v>251</v>
      </c>
      <c r="D82" s="14">
        <v>2240</v>
      </c>
      <c r="E82" s="14">
        <v>15</v>
      </c>
      <c r="F82" s="14">
        <v>15</v>
      </c>
      <c r="G82" s="15">
        <f t="shared" si="2"/>
        <v>149.33333333333334</v>
      </c>
    </row>
    <row r="83" spans="1:7" ht="20.149999999999999" customHeight="1" x14ac:dyDescent="0.35">
      <c r="A83" s="2">
        <f t="shared" si="3"/>
        <v>71</v>
      </c>
      <c r="B83" s="14">
        <v>71</v>
      </c>
      <c r="C83" s="12" t="s">
        <v>175</v>
      </c>
      <c r="D83" s="14">
        <v>2220</v>
      </c>
      <c r="E83" s="14">
        <v>13</v>
      </c>
      <c r="F83" s="14">
        <v>13</v>
      </c>
      <c r="G83" s="15">
        <f t="shared" si="2"/>
        <v>170.76923076923077</v>
      </c>
    </row>
    <row r="84" spans="1:7" ht="20.149999999999999" customHeight="1" x14ac:dyDescent="0.35">
      <c r="A84" s="2">
        <f t="shared" si="3"/>
        <v>72</v>
      </c>
      <c r="B84" s="14">
        <v>72</v>
      </c>
      <c r="C84" s="12" t="s">
        <v>289</v>
      </c>
      <c r="D84" s="14">
        <v>2180</v>
      </c>
      <c r="E84" s="14">
        <v>14</v>
      </c>
      <c r="F84" s="14">
        <v>14</v>
      </c>
      <c r="G84" s="15">
        <f t="shared" si="2"/>
        <v>155.71428571428572</v>
      </c>
    </row>
    <row r="85" spans="1:7" ht="20.149999999999999" customHeight="1" x14ac:dyDescent="0.35">
      <c r="A85" s="2">
        <f t="shared" si="3"/>
        <v>73</v>
      </c>
      <c r="B85" s="14">
        <v>73</v>
      </c>
      <c r="C85" s="12" t="s">
        <v>311</v>
      </c>
      <c r="D85" s="14">
        <v>2180</v>
      </c>
      <c r="E85" s="14">
        <v>13</v>
      </c>
      <c r="F85" s="14">
        <v>13</v>
      </c>
      <c r="G85" s="15">
        <f t="shared" si="2"/>
        <v>167.69230769230768</v>
      </c>
    </row>
    <row r="86" spans="1:7" ht="20.149999999999999" customHeight="1" x14ac:dyDescent="0.35">
      <c r="A86" s="2">
        <f t="shared" si="3"/>
        <v>74</v>
      </c>
      <c r="B86" s="14">
        <v>74</v>
      </c>
      <c r="C86" s="12" t="s">
        <v>91</v>
      </c>
      <c r="D86" s="14">
        <v>2160</v>
      </c>
      <c r="E86" s="14">
        <v>14</v>
      </c>
      <c r="F86" s="14">
        <v>14</v>
      </c>
      <c r="G86" s="15">
        <f t="shared" si="2"/>
        <v>154.28571428571428</v>
      </c>
    </row>
    <row r="87" spans="1:7" ht="20.149999999999999" customHeight="1" x14ac:dyDescent="0.35">
      <c r="A87" s="2">
        <f t="shared" si="3"/>
        <v>75</v>
      </c>
      <c r="B87" s="14">
        <v>75</v>
      </c>
      <c r="C87" s="12" t="s">
        <v>278</v>
      </c>
      <c r="D87" s="14">
        <v>2160</v>
      </c>
      <c r="E87" s="14">
        <v>13</v>
      </c>
      <c r="F87" s="14">
        <v>13</v>
      </c>
      <c r="G87" s="15">
        <f t="shared" si="2"/>
        <v>166.15384615384616</v>
      </c>
    </row>
    <row r="88" spans="1:7" ht="20.149999999999999" customHeight="1" x14ac:dyDescent="0.35">
      <c r="A88" s="2">
        <f t="shared" si="3"/>
        <v>76</v>
      </c>
      <c r="B88" s="14">
        <v>76</v>
      </c>
      <c r="C88" s="12" t="s">
        <v>183</v>
      </c>
      <c r="D88" s="14">
        <v>2150</v>
      </c>
      <c r="E88" s="14">
        <v>16</v>
      </c>
      <c r="F88" s="14">
        <v>16</v>
      </c>
      <c r="G88" s="15">
        <f t="shared" si="2"/>
        <v>134.375</v>
      </c>
    </row>
    <row r="89" spans="1:7" ht="20.149999999999999" customHeight="1" x14ac:dyDescent="0.35">
      <c r="A89" s="2">
        <f t="shared" si="3"/>
        <v>77</v>
      </c>
      <c r="B89" s="14">
        <v>77</v>
      </c>
      <c r="C89" s="12" t="s">
        <v>274</v>
      </c>
      <c r="D89" s="14">
        <v>2100</v>
      </c>
      <c r="E89" s="14">
        <v>15</v>
      </c>
      <c r="F89" s="14">
        <v>15</v>
      </c>
      <c r="G89" s="15">
        <f t="shared" si="2"/>
        <v>140</v>
      </c>
    </row>
    <row r="90" spans="1:7" ht="20.149999999999999" customHeight="1" x14ac:dyDescent="0.35">
      <c r="A90" s="2">
        <f t="shared" si="3"/>
        <v>78</v>
      </c>
      <c r="B90" s="14">
        <v>78</v>
      </c>
      <c r="C90" s="12" t="s">
        <v>97</v>
      </c>
      <c r="D90" s="14">
        <v>2090</v>
      </c>
      <c r="E90" s="14">
        <v>13</v>
      </c>
      <c r="F90" s="14">
        <v>13</v>
      </c>
      <c r="G90" s="15">
        <f t="shared" si="2"/>
        <v>160.76923076923077</v>
      </c>
    </row>
    <row r="91" spans="1:7" ht="20.149999999999999" customHeight="1" x14ac:dyDescent="0.35">
      <c r="A91" s="2">
        <f t="shared" si="3"/>
        <v>79</v>
      </c>
      <c r="B91" s="14">
        <v>79</v>
      </c>
      <c r="C91" s="12" t="s">
        <v>283</v>
      </c>
      <c r="D91" s="14">
        <v>2080</v>
      </c>
      <c r="E91" s="14">
        <v>15</v>
      </c>
      <c r="F91" s="14">
        <v>15</v>
      </c>
      <c r="G91" s="15">
        <f t="shared" si="2"/>
        <v>138.66666666666666</v>
      </c>
    </row>
    <row r="92" spans="1:7" ht="20.149999999999999" customHeight="1" x14ac:dyDescent="0.35">
      <c r="A92" s="2">
        <f t="shared" si="3"/>
        <v>80</v>
      </c>
      <c r="B92" s="14">
        <v>80</v>
      </c>
      <c r="C92" s="12" t="s">
        <v>284</v>
      </c>
      <c r="D92" s="14">
        <v>2080</v>
      </c>
      <c r="E92" s="14">
        <v>15</v>
      </c>
      <c r="F92" s="14">
        <v>15</v>
      </c>
      <c r="G92" s="15">
        <f t="shared" si="2"/>
        <v>138.66666666666666</v>
      </c>
    </row>
    <row r="93" spans="1:7" ht="20.149999999999999" customHeight="1" x14ac:dyDescent="0.35">
      <c r="A93" s="2">
        <f t="shared" si="3"/>
        <v>81</v>
      </c>
      <c r="B93" s="14">
        <v>81</v>
      </c>
      <c r="C93" s="12" t="s">
        <v>75</v>
      </c>
      <c r="D93" s="14">
        <v>2080</v>
      </c>
      <c r="E93" s="14">
        <v>15</v>
      </c>
      <c r="F93" s="14">
        <v>15</v>
      </c>
      <c r="G93" s="15">
        <f t="shared" si="2"/>
        <v>138.66666666666666</v>
      </c>
    </row>
    <row r="94" spans="1:7" ht="20.149999999999999" customHeight="1" x14ac:dyDescent="0.35">
      <c r="A94" s="2">
        <f t="shared" si="3"/>
        <v>82</v>
      </c>
      <c r="B94" s="14">
        <v>82</v>
      </c>
      <c r="C94" s="12" t="s">
        <v>323</v>
      </c>
      <c r="D94" s="14">
        <v>2080</v>
      </c>
      <c r="E94" s="14">
        <v>13</v>
      </c>
      <c r="F94" s="14">
        <v>13</v>
      </c>
      <c r="G94" s="15">
        <f t="shared" si="2"/>
        <v>160</v>
      </c>
    </row>
    <row r="95" spans="1:7" ht="20.149999999999999" customHeight="1" x14ac:dyDescent="0.35">
      <c r="A95" s="2">
        <f t="shared" si="3"/>
        <v>83</v>
      </c>
      <c r="B95" s="14">
        <v>83</v>
      </c>
      <c r="C95" s="12" t="s">
        <v>165</v>
      </c>
      <c r="D95" s="14">
        <v>2080</v>
      </c>
      <c r="E95" s="14">
        <v>12</v>
      </c>
      <c r="F95" s="14">
        <v>12</v>
      </c>
      <c r="G95" s="15">
        <f t="shared" si="2"/>
        <v>173.33333333333334</v>
      </c>
    </row>
    <row r="96" spans="1:7" ht="20.149999999999999" customHeight="1" x14ac:dyDescent="0.35">
      <c r="A96" s="2">
        <f t="shared" si="3"/>
        <v>84</v>
      </c>
      <c r="B96" s="14">
        <v>84</v>
      </c>
      <c r="C96" s="12" t="s">
        <v>150</v>
      </c>
      <c r="D96" s="14">
        <v>2070</v>
      </c>
      <c r="E96" s="14">
        <v>12</v>
      </c>
      <c r="F96" s="14">
        <v>12</v>
      </c>
      <c r="G96" s="15">
        <f t="shared" si="2"/>
        <v>172.5</v>
      </c>
    </row>
    <row r="97" spans="1:7" ht="20.149999999999999" customHeight="1" x14ac:dyDescent="0.35">
      <c r="A97" s="2">
        <f t="shared" si="3"/>
        <v>85</v>
      </c>
      <c r="B97" s="14">
        <v>85</v>
      </c>
      <c r="C97" s="12" t="s">
        <v>267</v>
      </c>
      <c r="D97" s="14">
        <v>2060</v>
      </c>
      <c r="E97" s="14">
        <v>14</v>
      </c>
      <c r="F97" s="14">
        <v>14</v>
      </c>
      <c r="G97" s="15">
        <f t="shared" si="2"/>
        <v>147.14285714285714</v>
      </c>
    </row>
    <row r="98" spans="1:7" ht="20.149999999999999" customHeight="1" x14ac:dyDescent="0.35">
      <c r="A98" s="2">
        <f t="shared" si="3"/>
        <v>86</v>
      </c>
      <c r="B98" s="14">
        <v>86</v>
      </c>
      <c r="C98" s="12" t="s">
        <v>191</v>
      </c>
      <c r="D98" s="14">
        <v>2060</v>
      </c>
      <c r="E98" s="14">
        <v>12</v>
      </c>
      <c r="F98" s="14">
        <v>12</v>
      </c>
      <c r="G98" s="15">
        <f t="shared" si="2"/>
        <v>171.66666666666666</v>
      </c>
    </row>
    <row r="99" spans="1:7" ht="20.149999999999999" customHeight="1" x14ac:dyDescent="0.35">
      <c r="A99" s="2">
        <f t="shared" si="3"/>
        <v>87</v>
      </c>
      <c r="B99" s="14">
        <v>87</v>
      </c>
      <c r="C99" s="12" t="s">
        <v>332</v>
      </c>
      <c r="D99" s="14">
        <v>2060</v>
      </c>
      <c r="E99" s="14">
        <v>11</v>
      </c>
      <c r="F99" s="14">
        <v>11</v>
      </c>
      <c r="G99" s="15">
        <f t="shared" si="2"/>
        <v>187.27272727272728</v>
      </c>
    </row>
    <row r="100" spans="1:7" ht="20.149999999999999" customHeight="1" x14ac:dyDescent="0.35">
      <c r="A100" s="2">
        <f t="shared" si="3"/>
        <v>88</v>
      </c>
      <c r="B100" s="14">
        <v>88</v>
      </c>
      <c r="C100" s="12" t="s">
        <v>258</v>
      </c>
      <c r="D100" s="14">
        <v>2050</v>
      </c>
      <c r="E100" s="14">
        <v>16</v>
      </c>
      <c r="F100" s="14">
        <v>16</v>
      </c>
      <c r="G100" s="15">
        <f t="shared" si="2"/>
        <v>128.125</v>
      </c>
    </row>
    <row r="101" spans="1:7" ht="20.149999999999999" customHeight="1" x14ac:dyDescent="0.35">
      <c r="A101" s="2">
        <f t="shared" si="3"/>
        <v>89</v>
      </c>
      <c r="B101" s="14">
        <v>89</v>
      </c>
      <c r="C101" s="12" t="s">
        <v>112</v>
      </c>
      <c r="D101" s="14">
        <v>2050</v>
      </c>
      <c r="E101" s="14">
        <v>13</v>
      </c>
      <c r="F101" s="14">
        <v>13</v>
      </c>
      <c r="G101" s="15">
        <f t="shared" si="2"/>
        <v>157.69230769230768</v>
      </c>
    </row>
    <row r="102" spans="1:7" ht="20.149999999999999" customHeight="1" x14ac:dyDescent="0.35">
      <c r="A102" s="2">
        <f t="shared" si="3"/>
        <v>90</v>
      </c>
      <c r="B102" s="14">
        <v>90</v>
      </c>
      <c r="C102" s="12" t="s">
        <v>324</v>
      </c>
      <c r="D102" s="14">
        <v>2040</v>
      </c>
      <c r="E102" s="14">
        <v>11</v>
      </c>
      <c r="F102" s="14">
        <v>11</v>
      </c>
      <c r="G102" s="15">
        <f t="shared" si="2"/>
        <v>185.45454545454547</v>
      </c>
    </row>
    <row r="103" spans="1:7" ht="20.149999999999999" customHeight="1" x14ac:dyDescent="0.35">
      <c r="A103" s="2">
        <f t="shared" si="3"/>
        <v>91</v>
      </c>
      <c r="B103" s="14">
        <v>91</v>
      </c>
      <c r="C103" s="12" t="s">
        <v>126</v>
      </c>
      <c r="D103" s="14">
        <v>2030</v>
      </c>
      <c r="E103" s="14">
        <v>14</v>
      </c>
      <c r="F103" s="14">
        <v>14</v>
      </c>
      <c r="G103" s="15">
        <f t="shared" si="2"/>
        <v>145</v>
      </c>
    </row>
    <row r="104" spans="1:7" ht="20.149999999999999" customHeight="1" x14ac:dyDescent="0.35">
      <c r="A104" s="2">
        <f t="shared" si="3"/>
        <v>92</v>
      </c>
      <c r="B104" s="14">
        <v>92</v>
      </c>
      <c r="C104" s="12" t="s">
        <v>56</v>
      </c>
      <c r="D104" s="14">
        <v>2020</v>
      </c>
      <c r="E104" s="14">
        <v>13</v>
      </c>
      <c r="F104" s="14">
        <v>13</v>
      </c>
      <c r="G104" s="15">
        <f t="shared" si="2"/>
        <v>155.38461538461539</v>
      </c>
    </row>
    <row r="105" spans="1:7" ht="20.149999999999999" customHeight="1" x14ac:dyDescent="0.35">
      <c r="A105" s="2">
        <f t="shared" si="3"/>
        <v>93</v>
      </c>
      <c r="B105" s="14">
        <v>93</v>
      </c>
      <c r="C105" s="12" t="s">
        <v>186</v>
      </c>
      <c r="D105" s="14">
        <v>2020</v>
      </c>
      <c r="E105" s="14">
        <v>12</v>
      </c>
      <c r="F105" s="14">
        <v>12</v>
      </c>
      <c r="G105" s="15">
        <f t="shared" si="2"/>
        <v>168.33333333333334</v>
      </c>
    </row>
    <row r="106" spans="1:7" ht="20.149999999999999" customHeight="1" x14ac:dyDescent="0.35">
      <c r="A106" s="2">
        <f t="shared" si="3"/>
        <v>94</v>
      </c>
      <c r="B106" s="14">
        <v>94</v>
      </c>
      <c r="C106" s="12" t="s">
        <v>96</v>
      </c>
      <c r="D106" s="14">
        <v>2020</v>
      </c>
      <c r="E106" s="14">
        <v>11</v>
      </c>
      <c r="F106" s="14">
        <v>11</v>
      </c>
      <c r="G106" s="15">
        <f t="shared" si="2"/>
        <v>183.63636363636363</v>
      </c>
    </row>
    <row r="107" spans="1:7" ht="20.149999999999999" customHeight="1" x14ac:dyDescent="0.35">
      <c r="A107" s="2">
        <f t="shared" si="3"/>
        <v>95</v>
      </c>
      <c r="B107" s="14">
        <v>95</v>
      </c>
      <c r="C107" s="12" t="s">
        <v>363</v>
      </c>
      <c r="D107" s="14">
        <v>2000</v>
      </c>
      <c r="E107" s="14">
        <v>15</v>
      </c>
      <c r="F107" s="14">
        <v>15</v>
      </c>
      <c r="G107" s="15">
        <f t="shared" si="2"/>
        <v>133.33333333333334</v>
      </c>
    </row>
    <row r="108" spans="1:7" ht="20.149999999999999" customHeight="1" x14ac:dyDescent="0.35">
      <c r="A108" s="2">
        <f t="shared" si="3"/>
        <v>96</v>
      </c>
      <c r="B108" s="14">
        <v>96</v>
      </c>
      <c r="C108" s="12" t="s">
        <v>310</v>
      </c>
      <c r="D108" s="14">
        <v>2000</v>
      </c>
      <c r="E108" s="14">
        <v>14</v>
      </c>
      <c r="F108" s="14">
        <v>14</v>
      </c>
      <c r="G108" s="15">
        <f t="shared" si="2"/>
        <v>142.85714285714286</v>
      </c>
    </row>
    <row r="109" spans="1:7" ht="20.149999999999999" customHeight="1" x14ac:dyDescent="0.35">
      <c r="A109" s="2">
        <f t="shared" si="3"/>
        <v>97</v>
      </c>
      <c r="B109" s="14">
        <v>97</v>
      </c>
      <c r="C109" s="12" t="s">
        <v>293</v>
      </c>
      <c r="D109" s="14">
        <v>1920</v>
      </c>
      <c r="E109" s="14">
        <v>14</v>
      </c>
      <c r="F109" s="14">
        <v>14</v>
      </c>
      <c r="G109" s="15">
        <f t="shared" si="2"/>
        <v>137.14285714285714</v>
      </c>
    </row>
    <row r="110" spans="1:7" ht="20.149999999999999" customHeight="1" x14ac:dyDescent="0.35">
      <c r="A110" s="2">
        <f t="shared" si="3"/>
        <v>98</v>
      </c>
      <c r="B110" s="14">
        <v>98</v>
      </c>
      <c r="C110" s="12" t="s">
        <v>282</v>
      </c>
      <c r="D110" s="14">
        <v>1900</v>
      </c>
      <c r="E110" s="14">
        <v>15</v>
      </c>
      <c r="F110" s="14">
        <v>15</v>
      </c>
      <c r="G110" s="15">
        <f t="shared" si="2"/>
        <v>126.66666666666667</v>
      </c>
    </row>
    <row r="111" spans="1:7" ht="20.149999999999999" customHeight="1" x14ac:dyDescent="0.35">
      <c r="A111" s="2">
        <f t="shared" si="3"/>
        <v>99</v>
      </c>
      <c r="B111" s="14">
        <v>99</v>
      </c>
      <c r="C111" s="12" t="s">
        <v>111</v>
      </c>
      <c r="D111" s="14">
        <v>1870</v>
      </c>
      <c r="E111" s="14">
        <v>12</v>
      </c>
      <c r="F111" s="14">
        <v>12</v>
      </c>
      <c r="G111" s="15">
        <f t="shared" si="2"/>
        <v>155.83333333333334</v>
      </c>
    </row>
    <row r="112" spans="1:7" ht="20.149999999999999" customHeight="1" x14ac:dyDescent="0.35">
      <c r="A112" s="2">
        <f t="shared" si="3"/>
        <v>100</v>
      </c>
      <c r="B112" s="14">
        <v>100</v>
      </c>
      <c r="C112" s="12" t="s">
        <v>44</v>
      </c>
      <c r="D112" s="14">
        <v>1780</v>
      </c>
      <c r="E112" s="14">
        <v>15</v>
      </c>
      <c r="F112" s="14">
        <v>15</v>
      </c>
      <c r="G112" s="15">
        <f t="shared" si="2"/>
        <v>118.66666666666667</v>
      </c>
    </row>
    <row r="113" spans="1:7" ht="20.149999999999999" customHeight="1" x14ac:dyDescent="0.35">
      <c r="A113" s="2">
        <f t="shared" si="3"/>
        <v>101</v>
      </c>
      <c r="B113" s="14">
        <v>101</v>
      </c>
      <c r="C113" s="12" t="s">
        <v>327</v>
      </c>
      <c r="D113" s="14">
        <v>1750</v>
      </c>
      <c r="E113" s="14">
        <v>11</v>
      </c>
      <c r="F113" s="14">
        <v>11</v>
      </c>
      <c r="G113" s="15">
        <f t="shared" si="2"/>
        <v>159.09090909090909</v>
      </c>
    </row>
    <row r="114" spans="1:7" ht="20.149999999999999" customHeight="1" x14ac:dyDescent="0.35">
      <c r="A114" s="2">
        <f t="shared" si="3"/>
        <v>102</v>
      </c>
      <c r="B114" s="14">
        <v>102</v>
      </c>
      <c r="C114" s="12" t="s">
        <v>110</v>
      </c>
      <c r="D114" s="14">
        <v>1740</v>
      </c>
      <c r="E114" s="14">
        <v>11</v>
      </c>
      <c r="F114" s="14">
        <v>11</v>
      </c>
      <c r="G114" s="15">
        <f t="shared" si="2"/>
        <v>158.18181818181819</v>
      </c>
    </row>
    <row r="115" spans="1:7" ht="20.149999999999999" customHeight="1" x14ac:dyDescent="0.35">
      <c r="A115" s="2">
        <f t="shared" si="3"/>
        <v>103</v>
      </c>
      <c r="B115" s="14">
        <v>103</v>
      </c>
      <c r="C115" s="12" t="s">
        <v>108</v>
      </c>
      <c r="D115" s="14">
        <v>1660</v>
      </c>
      <c r="E115" s="14">
        <v>12</v>
      </c>
      <c r="F115" s="14">
        <v>12</v>
      </c>
      <c r="G115" s="15">
        <f t="shared" si="2"/>
        <v>138.33333333333334</v>
      </c>
    </row>
    <row r="116" spans="1:7" ht="20.149999999999999" customHeight="1" x14ac:dyDescent="0.35">
      <c r="A116" s="2">
        <f t="shared" si="3"/>
        <v>104</v>
      </c>
      <c r="B116" s="14">
        <v>104</v>
      </c>
      <c r="C116" s="12" t="s">
        <v>113</v>
      </c>
      <c r="D116" s="14">
        <v>1660</v>
      </c>
      <c r="E116" s="14">
        <v>10</v>
      </c>
      <c r="F116" s="14">
        <v>10</v>
      </c>
      <c r="G116" s="15">
        <f t="shared" si="2"/>
        <v>166</v>
      </c>
    </row>
    <row r="117" spans="1:7" ht="20.149999999999999" customHeight="1" x14ac:dyDescent="0.35">
      <c r="A117" s="2">
        <f t="shared" si="3"/>
        <v>105</v>
      </c>
      <c r="B117" s="14">
        <v>105</v>
      </c>
      <c r="C117" s="12" t="s">
        <v>348</v>
      </c>
      <c r="D117" s="14">
        <v>1540</v>
      </c>
      <c r="E117" s="14">
        <v>12</v>
      </c>
      <c r="F117" s="14">
        <v>12</v>
      </c>
      <c r="G117" s="15">
        <f t="shared" si="2"/>
        <v>128.33333333333334</v>
      </c>
    </row>
    <row r="118" spans="1:7" ht="20.149999999999999" customHeight="1" x14ac:dyDescent="0.35">
      <c r="A118" s="2">
        <f t="shared" si="3"/>
        <v>106</v>
      </c>
      <c r="B118" s="14">
        <v>106</v>
      </c>
      <c r="C118" s="12" t="s">
        <v>21</v>
      </c>
      <c r="D118" s="14">
        <v>1480</v>
      </c>
      <c r="E118" s="14">
        <v>8</v>
      </c>
      <c r="F118" s="14">
        <v>8</v>
      </c>
      <c r="G118" s="15">
        <f t="shared" si="2"/>
        <v>185</v>
      </c>
    </row>
    <row r="119" spans="1:7" ht="20.149999999999999" customHeight="1" x14ac:dyDescent="0.35">
      <c r="A119" s="2">
        <f t="shared" si="3"/>
        <v>107</v>
      </c>
      <c r="B119" s="14">
        <v>107</v>
      </c>
      <c r="C119" s="12" t="s">
        <v>145</v>
      </c>
      <c r="D119" s="14">
        <v>1460</v>
      </c>
      <c r="E119" s="14">
        <v>11</v>
      </c>
      <c r="F119" s="14">
        <v>11</v>
      </c>
      <c r="G119" s="15">
        <f t="shared" si="2"/>
        <v>132.72727272727272</v>
      </c>
    </row>
    <row r="120" spans="1:7" ht="20.149999999999999" customHeight="1" x14ac:dyDescent="0.35">
      <c r="A120" s="2">
        <f t="shared" si="3"/>
        <v>108</v>
      </c>
      <c r="B120" s="14">
        <v>108</v>
      </c>
      <c r="C120" s="12" t="s">
        <v>170</v>
      </c>
      <c r="D120" s="14">
        <v>1410</v>
      </c>
      <c r="E120" s="14">
        <v>8</v>
      </c>
      <c r="F120" s="14">
        <v>8</v>
      </c>
      <c r="G120" s="15">
        <f t="shared" si="2"/>
        <v>176.25</v>
      </c>
    </row>
    <row r="121" spans="1:7" ht="20.149999999999999" customHeight="1" x14ac:dyDescent="0.35">
      <c r="A121" s="2">
        <f t="shared" si="3"/>
        <v>109</v>
      </c>
      <c r="B121" s="14">
        <v>109</v>
      </c>
      <c r="C121" s="12" t="s">
        <v>307</v>
      </c>
      <c r="D121" s="14">
        <v>1320</v>
      </c>
      <c r="E121" s="14">
        <v>6</v>
      </c>
      <c r="F121" s="14">
        <v>7</v>
      </c>
      <c r="G121" s="15">
        <f t="shared" si="2"/>
        <v>188.57142857142858</v>
      </c>
    </row>
    <row r="122" spans="1:7" ht="20.149999999999999" customHeight="1" x14ac:dyDescent="0.35">
      <c r="A122" s="2">
        <f t="shared" si="3"/>
        <v>110</v>
      </c>
      <c r="B122" s="14">
        <v>110</v>
      </c>
      <c r="C122" s="12" t="s">
        <v>279</v>
      </c>
      <c r="D122" s="14">
        <v>1320</v>
      </c>
      <c r="E122" s="14">
        <v>6</v>
      </c>
      <c r="F122" s="14">
        <v>6</v>
      </c>
      <c r="G122" s="15">
        <f t="shared" si="2"/>
        <v>220</v>
      </c>
    </row>
    <row r="123" spans="1:7" ht="20.149999999999999" customHeight="1" x14ac:dyDescent="0.35">
      <c r="A123" s="2">
        <f t="shared" si="3"/>
        <v>111</v>
      </c>
      <c r="B123" s="14">
        <v>111</v>
      </c>
      <c r="C123" s="12" t="s">
        <v>287</v>
      </c>
      <c r="D123" s="14">
        <v>1060</v>
      </c>
      <c r="E123" s="14">
        <v>7</v>
      </c>
      <c r="F123" s="14">
        <v>7</v>
      </c>
      <c r="G123" s="15">
        <f t="shared" si="2"/>
        <v>151.42857142857142</v>
      </c>
    </row>
    <row r="124" spans="1:7" ht="20.149999999999999" customHeight="1" x14ac:dyDescent="0.35">
      <c r="A124" s="2">
        <f t="shared" si="3"/>
        <v>112</v>
      </c>
      <c r="B124" s="14">
        <v>112</v>
      </c>
      <c r="C124" s="12" t="s">
        <v>174</v>
      </c>
      <c r="D124" s="14">
        <v>1060</v>
      </c>
      <c r="E124" s="14">
        <v>5</v>
      </c>
      <c r="F124" s="14">
        <v>5</v>
      </c>
      <c r="G124" s="15">
        <f t="shared" si="2"/>
        <v>212</v>
      </c>
    </row>
    <row r="125" spans="1:7" ht="20.149999999999999" customHeight="1" x14ac:dyDescent="0.35">
      <c r="A125" s="2">
        <f t="shared" si="3"/>
        <v>113</v>
      </c>
      <c r="B125" s="14">
        <v>113</v>
      </c>
      <c r="C125" s="12" t="s">
        <v>349</v>
      </c>
      <c r="D125" s="14">
        <v>930</v>
      </c>
      <c r="E125" s="14">
        <v>7</v>
      </c>
      <c r="F125" s="14">
        <v>7</v>
      </c>
      <c r="G125" s="15">
        <f t="shared" si="2"/>
        <v>132.85714285714286</v>
      </c>
    </row>
    <row r="126" spans="1:7" ht="20.149999999999999" customHeight="1" x14ac:dyDescent="0.35">
      <c r="A126" s="2">
        <f t="shared" si="3"/>
        <v>114</v>
      </c>
      <c r="B126" s="14">
        <v>114</v>
      </c>
      <c r="C126" s="12" t="s">
        <v>331</v>
      </c>
      <c r="D126" s="14">
        <v>660</v>
      </c>
      <c r="E126" s="14">
        <v>4</v>
      </c>
      <c r="F126" s="14">
        <v>4</v>
      </c>
      <c r="G126" s="15">
        <f t="shared" si="2"/>
        <v>165</v>
      </c>
    </row>
    <row r="127" spans="1:7" ht="20.149999999999999" customHeight="1" x14ac:dyDescent="0.35">
      <c r="A127" s="2">
        <f t="shared" si="3"/>
        <v>115</v>
      </c>
      <c r="B127" s="14">
        <v>115</v>
      </c>
      <c r="C127" s="12" t="s">
        <v>333</v>
      </c>
      <c r="D127" s="14">
        <v>260</v>
      </c>
      <c r="E127" s="14">
        <v>3</v>
      </c>
      <c r="F127" s="14">
        <v>3</v>
      </c>
      <c r="G127" s="15">
        <f t="shared" si="2"/>
        <v>86.666666666666671</v>
      </c>
    </row>
    <row r="128" spans="1:7" ht="20.149999999999999" customHeight="1" x14ac:dyDescent="0.35">
      <c r="A128" s="2">
        <f t="shared" si="3"/>
        <v>116</v>
      </c>
      <c r="B128" s="14">
        <v>116</v>
      </c>
      <c r="C128" s="12" t="s">
        <v>335</v>
      </c>
      <c r="D128" s="14">
        <v>0</v>
      </c>
      <c r="E128" s="14">
        <v>0</v>
      </c>
      <c r="F128" s="14">
        <v>0</v>
      </c>
      <c r="G128" s="15">
        <f t="shared" si="2"/>
        <v>0</v>
      </c>
    </row>
    <row r="129" spans="1:7" ht="20.149999999999999" customHeight="1" x14ac:dyDescent="0.35">
      <c r="A129" s="2">
        <f t="shared" si="3"/>
        <v>117</v>
      </c>
      <c r="B129" s="14">
        <v>117</v>
      </c>
      <c r="C129" s="12" t="s">
        <v>50</v>
      </c>
      <c r="D129" s="14">
        <v>0</v>
      </c>
      <c r="E129" s="14">
        <v>0</v>
      </c>
      <c r="F129" s="14">
        <v>0</v>
      </c>
      <c r="G129" s="15">
        <f t="shared" si="2"/>
        <v>0</v>
      </c>
    </row>
    <row r="130" spans="1:7" ht="20.149999999999999" customHeight="1" x14ac:dyDescent="0.35">
      <c r="A130" s="2">
        <f t="shared" si="3"/>
        <v>118</v>
      </c>
      <c r="B130" s="14">
        <v>118</v>
      </c>
      <c r="C130" s="12" t="s">
        <v>218</v>
      </c>
      <c r="D130" s="14">
        <v>0</v>
      </c>
      <c r="E130" s="14">
        <v>0</v>
      </c>
      <c r="F130" s="14">
        <v>0</v>
      </c>
      <c r="G130" s="15">
        <f t="shared" si="2"/>
        <v>0</v>
      </c>
    </row>
    <row r="131" spans="1:7" ht="20.149999999999999" customHeight="1" x14ac:dyDescent="0.35">
      <c r="A131" s="2">
        <f t="shared" si="3"/>
        <v>119</v>
      </c>
      <c r="B131" s="14">
        <v>119</v>
      </c>
      <c r="C131" s="12" t="s">
        <v>316</v>
      </c>
      <c r="D131" s="14">
        <v>0</v>
      </c>
      <c r="E131" s="14">
        <v>0</v>
      </c>
      <c r="F131" s="14">
        <v>0</v>
      </c>
      <c r="G131" s="15">
        <f t="shared" si="2"/>
        <v>0</v>
      </c>
    </row>
    <row r="132" spans="1:7" ht="20.149999999999999" customHeight="1" x14ac:dyDescent="0.35">
      <c r="B132" s="12" t="s">
        <v>131</v>
      </c>
      <c r="C132" s="12"/>
      <c r="D132" s="15">
        <f>SUBTOTAL(109,AllianceMobilization202606[Points
reached])</f>
        <v>303250</v>
      </c>
      <c r="E132" s="15">
        <f>SUBTOTAL(109,AllianceMobilization202606[Quests
started])</f>
        <v>1756</v>
      </c>
      <c r="F132" s="15">
        <f>SUBTOTAL(109,AllianceMobilization202606[Quests
completed])</f>
        <v>1758</v>
      </c>
      <c r="G132" s="16"/>
    </row>
    <row r="133" spans="1:7" ht="20.149999999999999" customHeight="1" x14ac:dyDescent="0.35">
      <c r="B133" s="5" t="s">
        <v>132</v>
      </c>
      <c r="C133" s="5"/>
      <c r="D133" s="6">
        <f>AVERAGE(D13:D131)</f>
        <v>2548.3193277310925</v>
      </c>
      <c r="E133" s="6">
        <f>AVERAGE(E13:E131)</f>
        <v>14.756302521008404</v>
      </c>
      <c r="F133" s="6">
        <f>AVERAGE(F13:F131)</f>
        <v>14.77310924369748</v>
      </c>
      <c r="G133" s="6">
        <f>AVERAGE(G13:G131)</f>
        <v>164.69102084756716</v>
      </c>
    </row>
  </sheetData>
  <mergeCells count="7">
    <mergeCell ref="B10:C10"/>
    <mergeCell ref="B3:C3"/>
    <mergeCell ref="B4:C4"/>
    <mergeCell ref="B5:C5"/>
    <mergeCell ref="B6:C6"/>
    <mergeCell ref="B7:C7"/>
    <mergeCell ref="B9:C9"/>
  </mergeCells>
  <conditionalFormatting sqref="D13:D131">
    <cfRule type="cellIs" dxfId="11" priority="1" operator="lessThan">
      <formula>$D$10</formula>
    </cfRule>
    <cfRule type="cellIs" dxfId="10" priority="2" operator="greaterThan">
      <formula>$D$10</formula>
    </cfRule>
    <cfRule type="cellIs" dxfId="9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scale="72" fitToHeight="0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E863-7C01-4301-AABC-6137459CB6A9}">
  <sheetPr>
    <pageSetUpPr fitToPage="1"/>
  </sheetPr>
  <dimension ref="A1:H154"/>
  <sheetViews>
    <sheetView topLeftCell="A81" zoomScaleNormal="100" workbookViewId="0">
      <selection activeCell="C101" sqref="C101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8" ht="24" customHeight="1" x14ac:dyDescent="0.35">
      <c r="B1" s="9" t="s">
        <v>336</v>
      </c>
      <c r="C1" s="10"/>
      <c r="D1" s="10"/>
    </row>
    <row r="2" spans="1:8" ht="20.149999999999999" customHeight="1" x14ac:dyDescent="0.35">
      <c r="B2" s="10"/>
      <c r="C2" s="10"/>
      <c r="D2" s="10"/>
    </row>
    <row r="3" spans="1:8" ht="20.149999999999999" customHeight="1" x14ac:dyDescent="0.35">
      <c r="B3" s="20" t="s">
        <v>236</v>
      </c>
      <c r="C3" s="20"/>
      <c r="D3" s="19">
        <v>3662</v>
      </c>
    </row>
    <row r="4" spans="1:8" ht="20.149999999999999" customHeight="1" x14ac:dyDescent="0.35">
      <c r="B4" s="20" t="s">
        <v>0</v>
      </c>
      <c r="C4" s="20"/>
      <c r="D4" s="10" t="s">
        <v>318</v>
      </c>
    </row>
    <row r="5" spans="1:8" ht="20.149999999999999" customHeight="1" x14ac:dyDescent="0.35">
      <c r="B5" s="20" t="s">
        <v>1</v>
      </c>
      <c r="C5" s="20"/>
      <c r="D5" s="10" t="s">
        <v>319</v>
      </c>
    </row>
    <row r="6" spans="1:8" ht="20.149999999999999" customHeight="1" x14ac:dyDescent="0.35">
      <c r="B6" s="20" t="s">
        <v>8</v>
      </c>
      <c r="C6" s="20"/>
      <c r="D6" s="11">
        <v>280800</v>
      </c>
    </row>
    <row r="7" spans="1:8" ht="20.149999999999999" customHeight="1" x14ac:dyDescent="0.35">
      <c r="B7" s="20" t="s">
        <v>6</v>
      </c>
      <c r="C7" s="20"/>
      <c r="D7" s="11" t="s">
        <v>320</v>
      </c>
      <c r="H7" s="19"/>
    </row>
    <row r="8" spans="1:8" ht="20.149999999999999" customHeight="1" x14ac:dyDescent="0.35">
      <c r="B8" s="3"/>
      <c r="C8" s="3" t="s">
        <v>210</v>
      </c>
      <c r="D8" s="11">
        <v>18</v>
      </c>
    </row>
    <row r="9" spans="1:8" ht="20.149999999999999" customHeight="1" x14ac:dyDescent="0.35">
      <c r="B9" s="20" t="s">
        <v>4</v>
      </c>
      <c r="C9" s="20"/>
      <c r="D9" s="10" t="s">
        <v>241</v>
      </c>
    </row>
    <row r="10" spans="1:8" ht="20.149999999999999" customHeight="1" x14ac:dyDescent="0.35">
      <c r="B10" s="20" t="s">
        <v>151</v>
      </c>
      <c r="C10" s="20"/>
      <c r="D10" s="11">
        <v>1800</v>
      </c>
    </row>
    <row r="11" spans="1:8" ht="20.149999999999999" customHeight="1" x14ac:dyDescent="0.35"/>
    <row r="12" spans="1:8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8" ht="20.149999999999999" customHeight="1" x14ac:dyDescent="0.35">
      <c r="A13" s="2">
        <f>ROW(A1)</f>
        <v>1</v>
      </c>
      <c r="B13" s="14">
        <v>1</v>
      </c>
      <c r="C13" s="12" t="s">
        <v>164</v>
      </c>
      <c r="D13" s="14">
        <v>6120</v>
      </c>
      <c r="E13" s="14">
        <v>30</v>
      </c>
      <c r="F13" s="14">
        <v>30</v>
      </c>
      <c r="G13" s="15">
        <f t="shared" ref="G13:G76" si="0">IFERROR(D13/F13,0)</f>
        <v>204</v>
      </c>
    </row>
    <row r="14" spans="1:8" ht="20.149999999999999" customHeight="1" x14ac:dyDescent="0.35">
      <c r="A14" s="2">
        <f t="shared" ref="A14:A77" si="1">ROW(A2)</f>
        <v>2</v>
      </c>
      <c r="B14" s="14">
        <v>2</v>
      </c>
      <c r="C14" s="12" t="s">
        <v>246</v>
      </c>
      <c r="D14" s="14">
        <v>5230</v>
      </c>
      <c r="E14" s="14">
        <v>26</v>
      </c>
      <c r="F14" s="14">
        <v>26</v>
      </c>
      <c r="G14" s="15">
        <f t="shared" si="0"/>
        <v>201.15384615384616</v>
      </c>
    </row>
    <row r="15" spans="1:8" ht="20.149999999999999" customHeight="1" x14ac:dyDescent="0.35">
      <c r="A15" s="2">
        <f t="shared" si="1"/>
        <v>3</v>
      </c>
      <c r="B15" s="14">
        <v>3</v>
      </c>
      <c r="C15" s="12" t="s">
        <v>323</v>
      </c>
      <c r="D15" s="14">
        <v>4450</v>
      </c>
      <c r="E15" s="14">
        <v>26</v>
      </c>
      <c r="F15" s="14">
        <v>26</v>
      </c>
      <c r="G15" s="15">
        <f t="shared" si="0"/>
        <v>171.15384615384616</v>
      </c>
    </row>
    <row r="16" spans="1:8" ht="20.149999999999999" customHeight="1" x14ac:dyDescent="0.35">
      <c r="A16" s="2">
        <f t="shared" si="1"/>
        <v>4</v>
      </c>
      <c r="B16" s="14">
        <v>4</v>
      </c>
      <c r="C16" s="12" t="s">
        <v>204</v>
      </c>
      <c r="D16" s="14">
        <v>4300</v>
      </c>
      <c r="E16" s="14">
        <v>22</v>
      </c>
      <c r="F16" s="14">
        <v>22</v>
      </c>
      <c r="G16" s="15">
        <f t="shared" si="0"/>
        <v>195.45454545454547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17</v>
      </c>
      <c r="D17" s="14">
        <v>4170</v>
      </c>
      <c r="E17" s="14">
        <v>20</v>
      </c>
      <c r="F17" s="14">
        <v>20</v>
      </c>
      <c r="G17" s="15">
        <f t="shared" si="0"/>
        <v>208.5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24</v>
      </c>
      <c r="D18" s="14">
        <v>4140</v>
      </c>
      <c r="E18" s="14">
        <v>21</v>
      </c>
      <c r="F18" s="14">
        <v>21</v>
      </c>
      <c r="G18" s="15">
        <f t="shared" si="0"/>
        <v>197.14285714285714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168</v>
      </c>
      <c r="D19" s="14">
        <v>3920</v>
      </c>
      <c r="E19" s="14">
        <v>19</v>
      </c>
      <c r="F19" s="14">
        <v>19</v>
      </c>
      <c r="G19" s="15">
        <f t="shared" si="0"/>
        <v>206.31578947368422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23</v>
      </c>
      <c r="D20" s="14">
        <v>3910</v>
      </c>
      <c r="E20" s="14">
        <v>19</v>
      </c>
      <c r="F20" s="14">
        <v>19</v>
      </c>
      <c r="G20" s="15">
        <f t="shared" si="0"/>
        <v>205.78947368421052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169</v>
      </c>
      <c r="D21" s="14">
        <v>3860</v>
      </c>
      <c r="E21" s="14">
        <v>22</v>
      </c>
      <c r="F21" s="14">
        <v>22</v>
      </c>
      <c r="G21" s="15">
        <f t="shared" si="0"/>
        <v>175.45454545454547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15</v>
      </c>
      <c r="D22" s="14">
        <v>3720</v>
      </c>
      <c r="E22" s="14">
        <v>19</v>
      </c>
      <c r="F22" s="14">
        <v>19</v>
      </c>
      <c r="G22" s="15">
        <f t="shared" si="0"/>
        <v>195.78947368421052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115</v>
      </c>
      <c r="D23" s="14">
        <v>3700</v>
      </c>
      <c r="E23" s="14">
        <v>22</v>
      </c>
      <c r="F23" s="14">
        <v>22</v>
      </c>
      <c r="G23" s="15">
        <f t="shared" si="0"/>
        <v>168.18181818181819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14</v>
      </c>
      <c r="D24" s="14">
        <v>3670</v>
      </c>
      <c r="E24" s="14">
        <v>19</v>
      </c>
      <c r="F24" s="14">
        <v>19</v>
      </c>
      <c r="G24" s="15">
        <f t="shared" si="0"/>
        <v>193.15789473684211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281</v>
      </c>
      <c r="D25" s="14">
        <v>3580</v>
      </c>
      <c r="E25" s="14">
        <v>21</v>
      </c>
      <c r="F25" s="14">
        <v>21</v>
      </c>
      <c r="G25" s="15">
        <f t="shared" si="0"/>
        <v>170.47619047619048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42</v>
      </c>
      <c r="D26" s="14">
        <v>3570</v>
      </c>
      <c r="E26" s="14">
        <v>22</v>
      </c>
      <c r="F26" s="14">
        <v>22</v>
      </c>
      <c r="G26" s="15">
        <f t="shared" si="0"/>
        <v>162.27272727272728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170</v>
      </c>
      <c r="D27" s="14">
        <v>3550</v>
      </c>
      <c r="E27" s="14">
        <v>20</v>
      </c>
      <c r="F27" s="14">
        <v>20</v>
      </c>
      <c r="G27" s="15">
        <f t="shared" si="0"/>
        <v>177.5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248</v>
      </c>
      <c r="D28" s="14">
        <v>3540</v>
      </c>
      <c r="E28" s="14">
        <v>18</v>
      </c>
      <c r="F28" s="14">
        <v>18</v>
      </c>
      <c r="G28" s="15">
        <f t="shared" si="0"/>
        <v>196.66666666666666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159</v>
      </c>
      <c r="D29" s="14">
        <v>3410</v>
      </c>
      <c r="E29" s="14">
        <v>18</v>
      </c>
      <c r="F29" s="14">
        <v>18</v>
      </c>
      <c r="G29" s="15">
        <f t="shared" si="0"/>
        <v>189.44444444444446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267</v>
      </c>
      <c r="D30" s="14">
        <v>3360</v>
      </c>
      <c r="E30" s="14">
        <v>19</v>
      </c>
      <c r="F30" s="14">
        <v>19</v>
      </c>
      <c r="G30" s="15">
        <f t="shared" si="0"/>
        <v>176.84210526315789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205</v>
      </c>
      <c r="D31" s="14">
        <v>3350</v>
      </c>
      <c r="E31" s="14">
        <v>18</v>
      </c>
      <c r="F31" s="14">
        <v>18</v>
      </c>
      <c r="G31" s="15">
        <f t="shared" si="0"/>
        <v>186.11111111111111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34</v>
      </c>
      <c r="D32" s="14">
        <v>3270</v>
      </c>
      <c r="E32" s="14">
        <v>18</v>
      </c>
      <c r="F32" s="14">
        <v>18</v>
      </c>
      <c r="G32" s="15">
        <f t="shared" si="0"/>
        <v>181.66666666666666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296</v>
      </c>
      <c r="D33" s="14">
        <v>3120</v>
      </c>
      <c r="E33" s="14">
        <v>17</v>
      </c>
      <c r="F33" s="14">
        <v>17</v>
      </c>
      <c r="G33" s="15">
        <f t="shared" si="0"/>
        <v>183.52941176470588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324</v>
      </c>
      <c r="D34" s="14">
        <v>3080</v>
      </c>
      <c r="E34" s="14">
        <v>16</v>
      </c>
      <c r="F34" s="14">
        <v>16</v>
      </c>
      <c r="G34" s="15">
        <f t="shared" si="0"/>
        <v>192.5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261</v>
      </c>
      <c r="D35" s="14">
        <v>3060</v>
      </c>
      <c r="E35" s="14">
        <v>17</v>
      </c>
      <c r="F35" s="14">
        <v>17</v>
      </c>
      <c r="G35" s="15">
        <f t="shared" si="0"/>
        <v>180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379</v>
      </c>
      <c r="D36" s="14">
        <v>3060</v>
      </c>
      <c r="E36" s="14">
        <v>16</v>
      </c>
      <c r="F36" s="14">
        <v>16</v>
      </c>
      <c r="G36" s="15">
        <f t="shared" si="0"/>
        <v>191.25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19</v>
      </c>
      <c r="D37" s="14">
        <v>3000</v>
      </c>
      <c r="E37" s="14">
        <v>15</v>
      </c>
      <c r="F37" s="14">
        <v>15</v>
      </c>
      <c r="G37" s="15">
        <f t="shared" si="0"/>
        <v>200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44</v>
      </c>
      <c r="D38" s="14">
        <v>3000</v>
      </c>
      <c r="E38" s="14">
        <v>14</v>
      </c>
      <c r="F38" s="14">
        <v>14</v>
      </c>
      <c r="G38" s="15">
        <f t="shared" si="0"/>
        <v>214.28571428571428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325</v>
      </c>
      <c r="D39" s="14">
        <v>2940</v>
      </c>
      <c r="E39" s="14">
        <v>15</v>
      </c>
      <c r="F39" s="14">
        <v>15</v>
      </c>
      <c r="G39" s="15">
        <f t="shared" si="0"/>
        <v>196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161</v>
      </c>
      <c r="D40" s="14">
        <v>2860</v>
      </c>
      <c r="E40" s="14">
        <v>17</v>
      </c>
      <c r="F40" s="14">
        <v>17</v>
      </c>
      <c r="G40" s="15">
        <f t="shared" si="0"/>
        <v>168.23529411764707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175</v>
      </c>
      <c r="D41" s="14">
        <v>2850</v>
      </c>
      <c r="E41" s="14">
        <v>17</v>
      </c>
      <c r="F41" s="14">
        <v>17</v>
      </c>
      <c r="G41" s="15">
        <f t="shared" si="0"/>
        <v>167.64705882352942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36</v>
      </c>
      <c r="D42" s="14">
        <v>2840</v>
      </c>
      <c r="E42" s="14">
        <v>15</v>
      </c>
      <c r="F42" s="14">
        <v>15</v>
      </c>
      <c r="G42" s="15">
        <f t="shared" si="0"/>
        <v>189.33333333333334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256</v>
      </c>
      <c r="D43" s="14">
        <v>2830</v>
      </c>
      <c r="E43" s="14">
        <v>15</v>
      </c>
      <c r="F43" s="14">
        <v>15</v>
      </c>
      <c r="G43" s="15">
        <f t="shared" si="0"/>
        <v>188.66666666666666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11</v>
      </c>
      <c r="D44" s="14">
        <v>2800</v>
      </c>
      <c r="E44" s="14">
        <v>15</v>
      </c>
      <c r="F44" s="14">
        <v>15</v>
      </c>
      <c r="G44" s="15">
        <f t="shared" si="0"/>
        <v>186.66666666666666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363</v>
      </c>
      <c r="D45" s="14">
        <v>2780</v>
      </c>
      <c r="E45" s="14">
        <v>14</v>
      </c>
      <c r="F45" s="14">
        <v>14</v>
      </c>
      <c r="G45" s="15">
        <f t="shared" si="0"/>
        <v>198.57142857142858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37</v>
      </c>
      <c r="D46" s="14">
        <v>2760</v>
      </c>
      <c r="E46" s="14">
        <v>14</v>
      </c>
      <c r="F46" s="14">
        <v>14</v>
      </c>
      <c r="G46" s="15">
        <f t="shared" si="0"/>
        <v>197.14285714285714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107</v>
      </c>
      <c r="D47" s="14">
        <v>2740</v>
      </c>
      <c r="E47" s="14">
        <v>17</v>
      </c>
      <c r="F47" s="14">
        <v>17</v>
      </c>
      <c r="G47" s="15">
        <f t="shared" si="0"/>
        <v>161.1764705882353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51</v>
      </c>
      <c r="D48" s="14">
        <v>2670</v>
      </c>
      <c r="E48" s="14">
        <v>13</v>
      </c>
      <c r="F48" s="14">
        <v>13</v>
      </c>
      <c r="G48" s="15">
        <f t="shared" si="0"/>
        <v>205.38461538461539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13</v>
      </c>
      <c r="D49" s="14">
        <v>2660</v>
      </c>
      <c r="E49" s="14">
        <v>12</v>
      </c>
      <c r="F49" s="14">
        <v>12</v>
      </c>
      <c r="G49" s="15">
        <f t="shared" si="0"/>
        <v>221.66666666666666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186</v>
      </c>
      <c r="D50" s="14">
        <v>2630</v>
      </c>
      <c r="E50" s="14">
        <v>13</v>
      </c>
      <c r="F50" s="14">
        <v>13</v>
      </c>
      <c r="G50" s="15">
        <f t="shared" si="0"/>
        <v>202.30769230769232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258</v>
      </c>
      <c r="D51" s="14">
        <v>2620</v>
      </c>
      <c r="E51" s="14">
        <v>18</v>
      </c>
      <c r="F51" s="14">
        <v>18</v>
      </c>
      <c r="G51" s="15">
        <f t="shared" si="0"/>
        <v>145.55555555555554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343</v>
      </c>
      <c r="D52" s="14">
        <v>2600</v>
      </c>
      <c r="E52" s="14">
        <v>16</v>
      </c>
      <c r="F52" s="14">
        <v>16</v>
      </c>
      <c r="G52" s="15">
        <f t="shared" si="0"/>
        <v>162.5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326</v>
      </c>
      <c r="D53" s="14">
        <v>2600</v>
      </c>
      <c r="E53" s="14">
        <v>14</v>
      </c>
      <c r="F53" s="14">
        <v>14</v>
      </c>
      <c r="G53" s="15">
        <f t="shared" si="0"/>
        <v>185.71428571428572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118</v>
      </c>
      <c r="D54" s="14">
        <v>2590</v>
      </c>
      <c r="E54" s="14">
        <v>13</v>
      </c>
      <c r="F54" s="14">
        <v>13</v>
      </c>
      <c r="G54" s="15">
        <f t="shared" si="0"/>
        <v>199.23076923076923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263</v>
      </c>
      <c r="D55" s="14">
        <v>2580</v>
      </c>
      <c r="E55" s="14">
        <v>14</v>
      </c>
      <c r="F55" s="14">
        <v>14</v>
      </c>
      <c r="G55" s="15">
        <f t="shared" si="0"/>
        <v>184.28571428571428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260</v>
      </c>
      <c r="D56" s="14">
        <v>2580</v>
      </c>
      <c r="E56" s="14">
        <v>14</v>
      </c>
      <c r="F56" s="14">
        <v>14</v>
      </c>
      <c r="G56" s="15">
        <f t="shared" si="0"/>
        <v>184.28571428571428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54</v>
      </c>
      <c r="D57" s="14">
        <v>2510</v>
      </c>
      <c r="E57" s="14">
        <v>14</v>
      </c>
      <c r="F57" s="14">
        <v>14</v>
      </c>
      <c r="G57" s="15">
        <f t="shared" si="0"/>
        <v>179.28571428571428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290</v>
      </c>
      <c r="D58" s="14">
        <v>2440</v>
      </c>
      <c r="E58" s="14">
        <v>12</v>
      </c>
      <c r="F58" s="14">
        <v>12</v>
      </c>
      <c r="G58" s="15">
        <f t="shared" si="0"/>
        <v>203.33333333333334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26</v>
      </c>
      <c r="D59" s="14">
        <v>2430</v>
      </c>
      <c r="E59" s="14">
        <v>15</v>
      </c>
      <c r="F59" s="14">
        <v>15</v>
      </c>
      <c r="G59" s="15">
        <f t="shared" si="0"/>
        <v>162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327</v>
      </c>
      <c r="D60" s="14">
        <v>2410</v>
      </c>
      <c r="E60" s="14">
        <v>15</v>
      </c>
      <c r="F60" s="14">
        <v>15</v>
      </c>
      <c r="G60" s="15">
        <f t="shared" si="0"/>
        <v>160.66666666666666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77</v>
      </c>
      <c r="D61" s="14">
        <v>2370</v>
      </c>
      <c r="E61" s="14">
        <v>13</v>
      </c>
      <c r="F61" s="14">
        <v>13</v>
      </c>
      <c r="G61" s="15">
        <f t="shared" si="0"/>
        <v>182.30769230769232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322</v>
      </c>
      <c r="D62" s="14">
        <v>2340</v>
      </c>
      <c r="E62" s="14">
        <v>14</v>
      </c>
      <c r="F62" s="14">
        <v>14</v>
      </c>
      <c r="G62" s="15">
        <f t="shared" si="0"/>
        <v>167.14285714285714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244</v>
      </c>
      <c r="D63" s="14">
        <v>2340</v>
      </c>
      <c r="E63" s="14">
        <v>12</v>
      </c>
      <c r="F63" s="14">
        <v>12</v>
      </c>
      <c r="G63" s="15">
        <f t="shared" si="0"/>
        <v>195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183</v>
      </c>
      <c r="D64" s="14">
        <v>2300</v>
      </c>
      <c r="E64" s="14">
        <v>14</v>
      </c>
      <c r="F64" s="14">
        <v>14</v>
      </c>
      <c r="G64" s="15">
        <f t="shared" si="0"/>
        <v>164.28571428571428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166</v>
      </c>
      <c r="D65" s="14">
        <v>2280</v>
      </c>
      <c r="E65" s="14">
        <v>13</v>
      </c>
      <c r="F65" s="14">
        <v>13</v>
      </c>
      <c r="G65" s="15">
        <f t="shared" si="0"/>
        <v>175.38461538461539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180</v>
      </c>
      <c r="D66" s="14">
        <v>2270</v>
      </c>
      <c r="E66" s="14">
        <v>14</v>
      </c>
      <c r="F66" s="14">
        <v>14</v>
      </c>
      <c r="G66" s="15">
        <f t="shared" si="0"/>
        <v>162.14285714285714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276</v>
      </c>
      <c r="D67" s="14">
        <v>2240</v>
      </c>
      <c r="E67" s="14">
        <v>15</v>
      </c>
      <c r="F67" s="14">
        <v>15</v>
      </c>
      <c r="G67" s="15">
        <f t="shared" si="0"/>
        <v>149.33333333333334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285</v>
      </c>
      <c r="D68" s="14">
        <v>2240</v>
      </c>
      <c r="E68" s="14">
        <v>14</v>
      </c>
      <c r="F68" s="14">
        <v>14</v>
      </c>
      <c r="G68" s="15">
        <f t="shared" si="0"/>
        <v>160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74</v>
      </c>
      <c r="D69" s="14">
        <v>2240</v>
      </c>
      <c r="E69" s="14">
        <v>13</v>
      </c>
      <c r="F69" s="14">
        <v>13</v>
      </c>
      <c r="G69" s="15">
        <f t="shared" si="0"/>
        <v>172.30769230769232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117</v>
      </c>
      <c r="D70" s="14">
        <v>2230</v>
      </c>
      <c r="E70" s="14">
        <v>14</v>
      </c>
      <c r="F70" s="14">
        <v>14</v>
      </c>
      <c r="G70" s="15">
        <f t="shared" si="0"/>
        <v>159.28571428571428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109</v>
      </c>
      <c r="D71" s="14">
        <v>2220</v>
      </c>
      <c r="E71" s="14">
        <v>13</v>
      </c>
      <c r="F71" s="14">
        <v>13</v>
      </c>
      <c r="G71" s="15">
        <f t="shared" si="0"/>
        <v>170.76923076923077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328</v>
      </c>
      <c r="D72" s="14">
        <v>2200</v>
      </c>
      <c r="E72" s="14">
        <v>15</v>
      </c>
      <c r="F72" s="14">
        <v>15</v>
      </c>
      <c r="G72" s="15">
        <f t="shared" si="0"/>
        <v>146.66666666666666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126</v>
      </c>
      <c r="D73" s="14">
        <v>2200</v>
      </c>
      <c r="E73" s="14">
        <v>14</v>
      </c>
      <c r="F73" s="14">
        <v>14</v>
      </c>
      <c r="G73" s="15">
        <f t="shared" si="0"/>
        <v>157.14285714285714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64</v>
      </c>
      <c r="D74" s="14">
        <v>2150</v>
      </c>
      <c r="E74" s="14">
        <v>12</v>
      </c>
      <c r="F74" s="14">
        <v>12</v>
      </c>
      <c r="G74" s="15">
        <f t="shared" si="0"/>
        <v>179.16666666666666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113</v>
      </c>
      <c r="D75" s="14">
        <v>2140</v>
      </c>
      <c r="E75" s="14">
        <v>11</v>
      </c>
      <c r="F75" s="14">
        <v>11</v>
      </c>
      <c r="G75" s="15">
        <f t="shared" si="0"/>
        <v>194.54545454545453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178</v>
      </c>
      <c r="D76" s="14">
        <v>2130</v>
      </c>
      <c r="E76" s="14">
        <v>11</v>
      </c>
      <c r="F76" s="14">
        <v>11</v>
      </c>
      <c r="G76" s="15">
        <f t="shared" si="0"/>
        <v>193.63636363636363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108</v>
      </c>
      <c r="D77" s="14">
        <v>2120</v>
      </c>
      <c r="E77" s="14">
        <v>12</v>
      </c>
      <c r="F77" s="14">
        <v>12</v>
      </c>
      <c r="G77" s="15">
        <f t="shared" ref="G77:G140" si="2">IFERROR(D77/F77,0)</f>
        <v>176.66666666666666</v>
      </c>
    </row>
    <row r="78" spans="1:7" ht="20.149999999999999" customHeight="1" x14ac:dyDescent="0.35">
      <c r="A78" s="2">
        <f t="shared" ref="A78:A141" si="3">ROW(A66)</f>
        <v>66</v>
      </c>
      <c r="B78" s="14">
        <v>66</v>
      </c>
      <c r="C78" s="12" t="s">
        <v>75</v>
      </c>
      <c r="D78" s="14">
        <v>2100</v>
      </c>
      <c r="E78" s="14">
        <v>16</v>
      </c>
      <c r="F78" s="14">
        <v>16</v>
      </c>
      <c r="G78" s="15">
        <f t="shared" si="2"/>
        <v>131.25</v>
      </c>
    </row>
    <row r="79" spans="1:7" ht="20.149999999999999" customHeight="1" x14ac:dyDescent="0.35">
      <c r="A79" s="2">
        <f t="shared" si="3"/>
        <v>67</v>
      </c>
      <c r="B79" s="14">
        <v>67</v>
      </c>
      <c r="C79" s="12" t="s">
        <v>283</v>
      </c>
      <c r="D79" s="14">
        <v>2080</v>
      </c>
      <c r="E79" s="14">
        <v>12</v>
      </c>
      <c r="F79" s="14">
        <v>12</v>
      </c>
      <c r="G79" s="15">
        <f t="shared" si="2"/>
        <v>173.33333333333334</v>
      </c>
    </row>
    <row r="80" spans="1:7" ht="20.149999999999999" customHeight="1" x14ac:dyDescent="0.35">
      <c r="A80" s="2">
        <f t="shared" si="3"/>
        <v>68</v>
      </c>
      <c r="B80" s="14">
        <v>68</v>
      </c>
      <c r="C80" s="12" t="s">
        <v>279</v>
      </c>
      <c r="D80" s="14">
        <v>2070</v>
      </c>
      <c r="E80" s="14">
        <v>12</v>
      </c>
      <c r="F80" s="14">
        <v>12</v>
      </c>
      <c r="G80" s="15">
        <f t="shared" si="2"/>
        <v>172.5</v>
      </c>
    </row>
    <row r="81" spans="1:7" ht="20.149999999999999" customHeight="1" x14ac:dyDescent="0.35">
      <c r="A81" s="2">
        <f t="shared" si="3"/>
        <v>69</v>
      </c>
      <c r="B81" s="14">
        <v>69</v>
      </c>
      <c r="C81" s="12" t="s">
        <v>278</v>
      </c>
      <c r="D81" s="14">
        <v>2060</v>
      </c>
      <c r="E81" s="14">
        <v>14</v>
      </c>
      <c r="F81" s="14">
        <v>14</v>
      </c>
      <c r="G81" s="15">
        <f t="shared" si="2"/>
        <v>147.14285714285714</v>
      </c>
    </row>
    <row r="82" spans="1:7" ht="20.149999999999999" customHeight="1" x14ac:dyDescent="0.35">
      <c r="A82" s="2">
        <f t="shared" si="3"/>
        <v>70</v>
      </c>
      <c r="B82" s="14">
        <v>70</v>
      </c>
      <c r="C82" s="12" t="s">
        <v>18</v>
      </c>
      <c r="D82" s="14">
        <v>2040</v>
      </c>
      <c r="E82" s="14">
        <v>11</v>
      </c>
      <c r="F82" s="14">
        <v>11</v>
      </c>
      <c r="G82" s="15">
        <f t="shared" si="2"/>
        <v>185.45454545454547</v>
      </c>
    </row>
    <row r="83" spans="1:7" ht="20.149999999999999" customHeight="1" x14ac:dyDescent="0.35">
      <c r="A83" s="2">
        <f t="shared" si="3"/>
        <v>71</v>
      </c>
      <c r="B83" s="14">
        <v>71</v>
      </c>
      <c r="C83" s="12" t="s">
        <v>140</v>
      </c>
      <c r="D83" s="14">
        <v>2030</v>
      </c>
      <c r="E83" s="14">
        <v>13</v>
      </c>
      <c r="F83" s="14">
        <v>13</v>
      </c>
      <c r="G83" s="15">
        <f t="shared" si="2"/>
        <v>156.15384615384616</v>
      </c>
    </row>
    <row r="84" spans="1:7" ht="20.149999999999999" customHeight="1" x14ac:dyDescent="0.35">
      <c r="A84" s="2">
        <f t="shared" si="3"/>
        <v>72</v>
      </c>
      <c r="B84" s="14">
        <v>72</v>
      </c>
      <c r="C84" s="12" t="s">
        <v>274</v>
      </c>
      <c r="D84" s="14">
        <v>2020</v>
      </c>
      <c r="E84" s="14">
        <v>11</v>
      </c>
      <c r="F84" s="14">
        <v>11</v>
      </c>
      <c r="G84" s="15">
        <f t="shared" si="2"/>
        <v>183.63636363636363</v>
      </c>
    </row>
    <row r="85" spans="1:7" ht="20.149999999999999" customHeight="1" x14ac:dyDescent="0.35">
      <c r="A85" s="2">
        <f t="shared" si="3"/>
        <v>73</v>
      </c>
      <c r="B85" s="14">
        <v>73</v>
      </c>
      <c r="C85" s="12" t="s">
        <v>329</v>
      </c>
      <c r="D85" s="14">
        <v>2020</v>
      </c>
      <c r="E85" s="14">
        <v>11</v>
      </c>
      <c r="F85" s="14">
        <v>11</v>
      </c>
      <c r="G85" s="15">
        <f t="shared" si="2"/>
        <v>183.63636363636363</v>
      </c>
    </row>
    <row r="86" spans="1:7" ht="20.149999999999999" customHeight="1" x14ac:dyDescent="0.35">
      <c r="A86" s="2">
        <f t="shared" si="3"/>
        <v>74</v>
      </c>
      <c r="B86" s="14">
        <v>74</v>
      </c>
      <c r="C86" s="12" t="s">
        <v>227</v>
      </c>
      <c r="D86" s="14">
        <v>1980</v>
      </c>
      <c r="E86" s="14">
        <v>12</v>
      </c>
      <c r="F86" s="14">
        <v>12</v>
      </c>
      <c r="G86" s="15">
        <f t="shared" si="2"/>
        <v>165</v>
      </c>
    </row>
    <row r="87" spans="1:7" ht="20.149999999999999" customHeight="1" x14ac:dyDescent="0.35">
      <c r="A87" s="2">
        <f t="shared" si="3"/>
        <v>75</v>
      </c>
      <c r="B87" s="14">
        <v>75</v>
      </c>
      <c r="C87" s="12" t="s">
        <v>165</v>
      </c>
      <c r="D87" s="14">
        <v>1980</v>
      </c>
      <c r="E87" s="14">
        <v>11</v>
      </c>
      <c r="F87" s="14">
        <v>11</v>
      </c>
      <c r="G87" s="15">
        <f t="shared" si="2"/>
        <v>180</v>
      </c>
    </row>
    <row r="88" spans="1:7" ht="20.149999999999999" customHeight="1" x14ac:dyDescent="0.35">
      <c r="A88" s="2">
        <f t="shared" si="3"/>
        <v>76</v>
      </c>
      <c r="B88" s="14">
        <v>76</v>
      </c>
      <c r="C88" s="12" t="s">
        <v>330</v>
      </c>
      <c r="D88" s="14">
        <v>1970</v>
      </c>
      <c r="E88" s="14">
        <v>13</v>
      </c>
      <c r="F88" s="14">
        <v>13</v>
      </c>
      <c r="G88" s="15">
        <f t="shared" si="2"/>
        <v>151.53846153846155</v>
      </c>
    </row>
    <row r="89" spans="1:7" ht="20.149999999999999" customHeight="1" x14ac:dyDescent="0.35">
      <c r="A89" s="2">
        <f t="shared" si="3"/>
        <v>77</v>
      </c>
      <c r="B89" s="14">
        <v>77</v>
      </c>
      <c r="C89" s="12" t="s">
        <v>331</v>
      </c>
      <c r="D89" s="14">
        <v>1970</v>
      </c>
      <c r="E89" s="14">
        <v>13</v>
      </c>
      <c r="F89" s="14">
        <v>13</v>
      </c>
      <c r="G89" s="15">
        <f t="shared" si="2"/>
        <v>151.53846153846155</v>
      </c>
    </row>
    <row r="90" spans="1:7" ht="20.149999999999999" customHeight="1" x14ac:dyDescent="0.35">
      <c r="A90" s="2">
        <f t="shared" si="3"/>
        <v>78</v>
      </c>
      <c r="B90" s="14">
        <v>78</v>
      </c>
      <c r="C90" s="12" t="s">
        <v>266</v>
      </c>
      <c r="D90" s="14">
        <v>1970</v>
      </c>
      <c r="E90" s="14">
        <v>12</v>
      </c>
      <c r="F90" s="14">
        <v>12</v>
      </c>
      <c r="G90" s="15">
        <f t="shared" si="2"/>
        <v>164.16666666666666</v>
      </c>
    </row>
    <row r="91" spans="1:7" ht="20.149999999999999" customHeight="1" x14ac:dyDescent="0.35">
      <c r="A91" s="2">
        <f t="shared" si="3"/>
        <v>79</v>
      </c>
      <c r="B91" s="14">
        <v>79</v>
      </c>
      <c r="C91" s="12" t="s">
        <v>249</v>
      </c>
      <c r="D91" s="14">
        <v>1940</v>
      </c>
      <c r="E91" s="14">
        <v>13</v>
      </c>
      <c r="F91" s="14">
        <v>13</v>
      </c>
      <c r="G91" s="15">
        <f t="shared" si="2"/>
        <v>149.23076923076923</v>
      </c>
    </row>
    <row r="92" spans="1:7" ht="20.149999999999999" customHeight="1" x14ac:dyDescent="0.35">
      <c r="A92" s="2">
        <f t="shared" si="3"/>
        <v>80</v>
      </c>
      <c r="B92" s="14">
        <v>80</v>
      </c>
      <c r="C92" s="12" t="s">
        <v>273</v>
      </c>
      <c r="D92" s="14">
        <v>1930</v>
      </c>
      <c r="E92" s="14">
        <v>14</v>
      </c>
      <c r="F92" s="14">
        <v>14</v>
      </c>
      <c r="G92" s="15">
        <f t="shared" si="2"/>
        <v>137.85714285714286</v>
      </c>
    </row>
    <row r="93" spans="1:7" ht="20.149999999999999" customHeight="1" x14ac:dyDescent="0.35">
      <c r="A93" s="2">
        <f t="shared" si="3"/>
        <v>81</v>
      </c>
      <c r="B93" s="14">
        <v>81</v>
      </c>
      <c r="C93" s="12" t="s">
        <v>245</v>
      </c>
      <c r="D93" s="14">
        <v>1930</v>
      </c>
      <c r="E93" s="14">
        <v>11</v>
      </c>
      <c r="F93" s="14">
        <v>11</v>
      </c>
      <c r="G93" s="15">
        <f t="shared" si="2"/>
        <v>175.45454545454547</v>
      </c>
    </row>
    <row r="94" spans="1:7" ht="20.149999999999999" customHeight="1" x14ac:dyDescent="0.35">
      <c r="A94" s="2">
        <f t="shared" si="3"/>
        <v>82</v>
      </c>
      <c r="B94" s="14">
        <v>82</v>
      </c>
      <c r="C94" s="12" t="s">
        <v>302</v>
      </c>
      <c r="D94" s="14">
        <v>1920</v>
      </c>
      <c r="E94" s="14">
        <v>11</v>
      </c>
      <c r="F94" s="14">
        <v>11</v>
      </c>
      <c r="G94" s="15">
        <f t="shared" si="2"/>
        <v>174.54545454545453</v>
      </c>
    </row>
    <row r="95" spans="1:7" ht="20.149999999999999" customHeight="1" x14ac:dyDescent="0.35">
      <c r="A95" s="2">
        <f t="shared" si="3"/>
        <v>83</v>
      </c>
      <c r="B95" s="14">
        <v>83</v>
      </c>
      <c r="C95" s="12" t="s">
        <v>110</v>
      </c>
      <c r="D95" s="14">
        <v>1920</v>
      </c>
      <c r="E95" s="14">
        <v>11</v>
      </c>
      <c r="F95" s="14">
        <v>11</v>
      </c>
      <c r="G95" s="15">
        <f t="shared" si="2"/>
        <v>174.54545454545453</v>
      </c>
    </row>
    <row r="96" spans="1:7" ht="20.149999999999999" customHeight="1" x14ac:dyDescent="0.35">
      <c r="A96" s="2">
        <f t="shared" si="3"/>
        <v>84</v>
      </c>
      <c r="B96" s="14">
        <v>84</v>
      </c>
      <c r="C96" s="12" t="s">
        <v>187</v>
      </c>
      <c r="D96" s="14">
        <v>1920</v>
      </c>
      <c r="E96" s="14">
        <v>11</v>
      </c>
      <c r="F96" s="14">
        <v>11</v>
      </c>
      <c r="G96" s="15">
        <f t="shared" si="2"/>
        <v>174.54545454545453</v>
      </c>
    </row>
    <row r="97" spans="1:7" ht="20.149999999999999" customHeight="1" x14ac:dyDescent="0.35">
      <c r="A97" s="2">
        <f t="shared" si="3"/>
        <v>85</v>
      </c>
      <c r="B97" s="14">
        <v>85</v>
      </c>
      <c r="C97" s="12" t="s">
        <v>21</v>
      </c>
      <c r="D97" s="14">
        <v>1910</v>
      </c>
      <c r="E97" s="14">
        <v>11</v>
      </c>
      <c r="F97" s="14">
        <v>11</v>
      </c>
      <c r="G97" s="15">
        <f t="shared" si="2"/>
        <v>173.63636363636363</v>
      </c>
    </row>
    <row r="98" spans="1:7" ht="20.149999999999999" customHeight="1" x14ac:dyDescent="0.35">
      <c r="A98" s="2">
        <f t="shared" si="3"/>
        <v>86</v>
      </c>
      <c r="B98" s="14">
        <v>86</v>
      </c>
      <c r="C98" s="12" t="s">
        <v>91</v>
      </c>
      <c r="D98" s="14">
        <v>1900</v>
      </c>
      <c r="E98" s="14">
        <v>10</v>
      </c>
      <c r="F98" s="14">
        <v>10</v>
      </c>
      <c r="G98" s="15">
        <f t="shared" si="2"/>
        <v>190</v>
      </c>
    </row>
    <row r="99" spans="1:7" ht="20.149999999999999" customHeight="1" x14ac:dyDescent="0.35">
      <c r="A99" s="2">
        <f t="shared" si="3"/>
        <v>87</v>
      </c>
      <c r="B99" s="14">
        <v>87</v>
      </c>
      <c r="C99" s="12" t="s">
        <v>96</v>
      </c>
      <c r="D99" s="14">
        <v>1870</v>
      </c>
      <c r="E99" s="14">
        <v>15</v>
      </c>
      <c r="F99" s="14">
        <v>15</v>
      </c>
      <c r="G99" s="15">
        <f t="shared" si="2"/>
        <v>124.66666666666667</v>
      </c>
    </row>
    <row r="100" spans="1:7" ht="20.149999999999999" customHeight="1" x14ac:dyDescent="0.35">
      <c r="A100" s="2">
        <f t="shared" si="3"/>
        <v>88</v>
      </c>
      <c r="B100" s="14">
        <v>88</v>
      </c>
      <c r="C100" s="12" t="s">
        <v>280</v>
      </c>
      <c r="D100" s="14">
        <v>1870</v>
      </c>
      <c r="E100" s="14">
        <v>11</v>
      </c>
      <c r="F100" s="14">
        <v>11</v>
      </c>
      <c r="G100" s="15">
        <f t="shared" si="2"/>
        <v>170</v>
      </c>
    </row>
    <row r="101" spans="1:7" ht="20.149999999999999" customHeight="1" x14ac:dyDescent="0.35">
      <c r="A101" s="2">
        <f t="shared" si="3"/>
        <v>89</v>
      </c>
      <c r="B101" s="14">
        <v>89</v>
      </c>
      <c r="C101" s="12" t="s">
        <v>84</v>
      </c>
      <c r="D101" s="14">
        <v>1860</v>
      </c>
      <c r="E101" s="14">
        <v>14</v>
      </c>
      <c r="F101" s="14">
        <v>14</v>
      </c>
      <c r="G101" s="15">
        <f t="shared" si="2"/>
        <v>132.85714285714286</v>
      </c>
    </row>
    <row r="102" spans="1:7" ht="20.149999999999999" customHeight="1" x14ac:dyDescent="0.35">
      <c r="A102" s="2">
        <f t="shared" si="3"/>
        <v>90</v>
      </c>
      <c r="B102" s="14">
        <v>90</v>
      </c>
      <c r="C102" s="12" t="s">
        <v>111</v>
      </c>
      <c r="D102" s="14">
        <v>1860</v>
      </c>
      <c r="E102" s="14">
        <v>11</v>
      </c>
      <c r="F102" s="14">
        <v>11</v>
      </c>
      <c r="G102" s="15">
        <f t="shared" si="2"/>
        <v>169.09090909090909</v>
      </c>
    </row>
    <row r="103" spans="1:7" ht="20.149999999999999" customHeight="1" x14ac:dyDescent="0.35">
      <c r="A103" s="2">
        <f t="shared" si="3"/>
        <v>91</v>
      </c>
      <c r="B103" s="14">
        <v>91</v>
      </c>
      <c r="C103" s="12" t="s">
        <v>332</v>
      </c>
      <c r="D103" s="14">
        <v>1840</v>
      </c>
      <c r="E103" s="14">
        <v>12</v>
      </c>
      <c r="F103" s="14">
        <v>12</v>
      </c>
      <c r="G103" s="15">
        <f t="shared" si="2"/>
        <v>153.33333333333334</v>
      </c>
    </row>
    <row r="104" spans="1:7" ht="20.149999999999999" customHeight="1" x14ac:dyDescent="0.35">
      <c r="A104" s="2">
        <f t="shared" si="3"/>
        <v>92</v>
      </c>
      <c r="B104" s="14">
        <v>92</v>
      </c>
      <c r="C104" s="12" t="s">
        <v>174</v>
      </c>
      <c r="D104" s="14">
        <v>1840</v>
      </c>
      <c r="E104" s="14">
        <v>10</v>
      </c>
      <c r="F104" s="14">
        <v>10</v>
      </c>
      <c r="G104" s="15">
        <f t="shared" si="2"/>
        <v>184</v>
      </c>
    </row>
    <row r="105" spans="1:7" ht="20.149999999999999" customHeight="1" x14ac:dyDescent="0.35">
      <c r="A105" s="2">
        <f t="shared" si="3"/>
        <v>93</v>
      </c>
      <c r="B105" s="14">
        <v>93</v>
      </c>
      <c r="C105" s="12" t="s">
        <v>191</v>
      </c>
      <c r="D105" s="14">
        <v>1820</v>
      </c>
      <c r="E105" s="14">
        <v>11</v>
      </c>
      <c r="F105" s="14">
        <v>11</v>
      </c>
      <c r="G105" s="15">
        <f t="shared" si="2"/>
        <v>165.45454545454547</v>
      </c>
    </row>
    <row r="106" spans="1:7" ht="20.149999999999999" customHeight="1" x14ac:dyDescent="0.35">
      <c r="A106" s="2">
        <f t="shared" si="3"/>
        <v>94</v>
      </c>
      <c r="B106" s="14">
        <v>94</v>
      </c>
      <c r="C106" s="12" t="s">
        <v>167</v>
      </c>
      <c r="D106" s="14">
        <v>1820</v>
      </c>
      <c r="E106" s="14">
        <v>11</v>
      </c>
      <c r="F106" s="14">
        <v>11</v>
      </c>
      <c r="G106" s="15">
        <f t="shared" si="2"/>
        <v>165.45454545454547</v>
      </c>
    </row>
    <row r="107" spans="1:7" ht="20.149999999999999" customHeight="1" x14ac:dyDescent="0.35">
      <c r="A107" s="2">
        <f t="shared" si="3"/>
        <v>95</v>
      </c>
      <c r="B107" s="14">
        <v>95</v>
      </c>
      <c r="C107" s="12" t="s">
        <v>282</v>
      </c>
      <c r="D107" s="14">
        <v>1820</v>
      </c>
      <c r="E107" s="14">
        <v>10</v>
      </c>
      <c r="F107" s="14">
        <v>10</v>
      </c>
      <c r="G107" s="15">
        <f t="shared" si="2"/>
        <v>182</v>
      </c>
    </row>
    <row r="108" spans="1:7" ht="20.149999999999999" customHeight="1" x14ac:dyDescent="0.35">
      <c r="A108" s="2">
        <f t="shared" si="3"/>
        <v>96</v>
      </c>
      <c r="B108" s="14">
        <v>96</v>
      </c>
      <c r="C108" s="12" t="s">
        <v>289</v>
      </c>
      <c r="D108" s="14">
        <v>1810</v>
      </c>
      <c r="E108" s="14">
        <v>12</v>
      </c>
      <c r="F108" s="14">
        <v>12</v>
      </c>
      <c r="G108" s="15">
        <f t="shared" si="2"/>
        <v>150.83333333333334</v>
      </c>
    </row>
    <row r="109" spans="1:7" ht="20.149999999999999" customHeight="1" x14ac:dyDescent="0.35">
      <c r="A109" s="2">
        <f t="shared" si="3"/>
        <v>97</v>
      </c>
      <c r="B109" s="14">
        <v>97</v>
      </c>
      <c r="C109" s="12" t="s">
        <v>97</v>
      </c>
      <c r="D109" s="14">
        <v>1800</v>
      </c>
      <c r="E109" s="14">
        <v>9</v>
      </c>
      <c r="F109" s="14">
        <v>9</v>
      </c>
      <c r="G109" s="15">
        <f t="shared" si="2"/>
        <v>200</v>
      </c>
    </row>
    <row r="110" spans="1:7" ht="20.149999999999999" customHeight="1" x14ac:dyDescent="0.35">
      <c r="A110" s="2">
        <f t="shared" si="3"/>
        <v>98</v>
      </c>
      <c r="B110" s="14">
        <v>98</v>
      </c>
      <c r="C110" s="12" t="s">
        <v>286</v>
      </c>
      <c r="D110" s="14">
        <v>1740</v>
      </c>
      <c r="E110" s="14">
        <v>9</v>
      </c>
      <c r="F110" s="14">
        <v>9</v>
      </c>
      <c r="G110" s="15">
        <f t="shared" si="2"/>
        <v>193.33333333333334</v>
      </c>
    </row>
    <row r="111" spans="1:7" ht="20.149999999999999" customHeight="1" x14ac:dyDescent="0.35">
      <c r="A111" s="2">
        <f t="shared" si="3"/>
        <v>99</v>
      </c>
      <c r="B111" s="14">
        <v>99</v>
      </c>
      <c r="C111" s="12" t="s">
        <v>112</v>
      </c>
      <c r="D111" s="14">
        <v>1700</v>
      </c>
      <c r="E111" s="14">
        <v>11</v>
      </c>
      <c r="F111" s="14">
        <v>11</v>
      </c>
      <c r="G111" s="15">
        <f t="shared" si="2"/>
        <v>154.54545454545453</v>
      </c>
    </row>
    <row r="112" spans="1:7" ht="20.149999999999999" customHeight="1" x14ac:dyDescent="0.35">
      <c r="A112" s="2">
        <f t="shared" si="3"/>
        <v>100</v>
      </c>
      <c r="B112" s="14">
        <v>100</v>
      </c>
      <c r="C112" s="12" t="s">
        <v>251</v>
      </c>
      <c r="D112" s="14">
        <v>1660</v>
      </c>
      <c r="E112" s="14">
        <v>11</v>
      </c>
      <c r="F112" s="14">
        <v>11</v>
      </c>
      <c r="G112" s="15">
        <f t="shared" si="2"/>
        <v>150.90909090909091</v>
      </c>
    </row>
    <row r="113" spans="1:7" ht="20.149999999999999" customHeight="1" x14ac:dyDescent="0.35">
      <c r="A113" s="2">
        <f t="shared" si="3"/>
        <v>101</v>
      </c>
      <c r="B113" s="14">
        <v>101</v>
      </c>
      <c r="C113" s="12" t="s">
        <v>284</v>
      </c>
      <c r="D113" s="14">
        <v>1510</v>
      </c>
      <c r="E113" s="14">
        <v>12</v>
      </c>
      <c r="F113" s="14">
        <v>12</v>
      </c>
      <c r="G113" s="15">
        <f t="shared" si="2"/>
        <v>125.83333333333333</v>
      </c>
    </row>
    <row r="114" spans="1:7" ht="20.149999999999999" customHeight="1" x14ac:dyDescent="0.35">
      <c r="A114" s="2">
        <f t="shared" si="3"/>
        <v>102</v>
      </c>
      <c r="B114" s="14">
        <v>102</v>
      </c>
      <c r="C114" s="12" t="s">
        <v>61</v>
      </c>
      <c r="D114" s="14">
        <v>1480</v>
      </c>
      <c r="E114" s="14">
        <v>10</v>
      </c>
      <c r="F114" s="14">
        <v>10</v>
      </c>
      <c r="G114" s="15">
        <f t="shared" si="2"/>
        <v>148</v>
      </c>
    </row>
    <row r="115" spans="1:7" ht="20.149999999999999" customHeight="1" x14ac:dyDescent="0.35">
      <c r="A115" s="2">
        <f t="shared" si="3"/>
        <v>103</v>
      </c>
      <c r="B115" s="14">
        <v>103</v>
      </c>
      <c r="C115" s="12" t="s">
        <v>301</v>
      </c>
      <c r="D115" s="14">
        <v>1440</v>
      </c>
      <c r="E115" s="14">
        <v>9</v>
      </c>
      <c r="F115" s="14">
        <v>9</v>
      </c>
      <c r="G115" s="15">
        <f t="shared" si="2"/>
        <v>160</v>
      </c>
    </row>
    <row r="116" spans="1:7" ht="20.149999999999999" customHeight="1" x14ac:dyDescent="0.35">
      <c r="A116" s="2">
        <f t="shared" si="3"/>
        <v>104</v>
      </c>
      <c r="B116" s="14">
        <v>104</v>
      </c>
      <c r="C116" s="12" t="s">
        <v>259</v>
      </c>
      <c r="D116" s="14">
        <v>1420</v>
      </c>
      <c r="E116" s="14">
        <v>8</v>
      </c>
      <c r="F116" s="14">
        <v>8</v>
      </c>
      <c r="G116" s="15">
        <f t="shared" si="2"/>
        <v>177.5</v>
      </c>
    </row>
    <row r="117" spans="1:7" ht="20.149999999999999" customHeight="1" x14ac:dyDescent="0.35">
      <c r="A117" s="2">
        <f t="shared" si="3"/>
        <v>105</v>
      </c>
      <c r="B117" s="14">
        <v>105</v>
      </c>
      <c r="C117" s="12" t="s">
        <v>344</v>
      </c>
      <c r="D117" s="14">
        <v>1380</v>
      </c>
      <c r="E117" s="14">
        <v>9</v>
      </c>
      <c r="F117" s="14">
        <v>9</v>
      </c>
      <c r="G117" s="15">
        <f t="shared" si="2"/>
        <v>153.33333333333334</v>
      </c>
    </row>
    <row r="118" spans="1:7" ht="20.149999999999999" customHeight="1" x14ac:dyDescent="0.35">
      <c r="A118" s="2">
        <f t="shared" si="3"/>
        <v>106</v>
      </c>
      <c r="B118" s="14">
        <v>106</v>
      </c>
      <c r="C118" s="12" t="s">
        <v>145</v>
      </c>
      <c r="D118" s="14">
        <v>1200</v>
      </c>
      <c r="E118" s="14">
        <v>9</v>
      </c>
      <c r="F118" s="14">
        <v>9</v>
      </c>
      <c r="G118" s="15">
        <f t="shared" si="2"/>
        <v>133.33333333333334</v>
      </c>
    </row>
    <row r="119" spans="1:7" ht="20.149999999999999" customHeight="1" x14ac:dyDescent="0.35">
      <c r="A119" s="2">
        <f t="shared" si="3"/>
        <v>107</v>
      </c>
      <c r="B119" s="14">
        <v>107</v>
      </c>
      <c r="C119" s="12" t="s">
        <v>298</v>
      </c>
      <c r="D119" s="14">
        <v>1100</v>
      </c>
      <c r="E119" s="14">
        <v>7</v>
      </c>
      <c r="F119" s="14">
        <v>7</v>
      </c>
      <c r="G119" s="15">
        <f t="shared" si="2"/>
        <v>157.14285714285714</v>
      </c>
    </row>
    <row r="120" spans="1:7" ht="20.149999999999999" customHeight="1" x14ac:dyDescent="0.35">
      <c r="A120" s="2">
        <f t="shared" si="3"/>
        <v>108</v>
      </c>
      <c r="B120" s="14">
        <v>108</v>
      </c>
      <c r="C120" s="12" t="s">
        <v>287</v>
      </c>
      <c r="D120" s="14">
        <v>1040</v>
      </c>
      <c r="E120" s="14">
        <v>7</v>
      </c>
      <c r="F120" s="14">
        <v>7</v>
      </c>
      <c r="G120" s="15">
        <f t="shared" si="2"/>
        <v>148.57142857142858</v>
      </c>
    </row>
    <row r="121" spans="1:7" ht="20.149999999999999" customHeight="1" x14ac:dyDescent="0.35">
      <c r="A121" s="2">
        <f t="shared" si="3"/>
        <v>109</v>
      </c>
      <c r="B121" s="14">
        <v>109</v>
      </c>
      <c r="C121" s="12" t="s">
        <v>297</v>
      </c>
      <c r="D121" s="14">
        <v>980</v>
      </c>
      <c r="E121" s="14">
        <v>6</v>
      </c>
      <c r="F121" s="14">
        <v>6</v>
      </c>
      <c r="G121" s="15">
        <f t="shared" si="2"/>
        <v>163.33333333333334</v>
      </c>
    </row>
    <row r="122" spans="1:7" ht="20.149999999999999" customHeight="1" x14ac:dyDescent="0.35">
      <c r="A122" s="2">
        <f t="shared" si="3"/>
        <v>110</v>
      </c>
      <c r="B122" s="14">
        <v>110</v>
      </c>
      <c r="C122" s="12" t="s">
        <v>293</v>
      </c>
      <c r="D122" s="14">
        <v>920</v>
      </c>
      <c r="E122" s="14">
        <v>7</v>
      </c>
      <c r="F122" s="14">
        <v>7</v>
      </c>
      <c r="G122" s="15">
        <f t="shared" si="2"/>
        <v>131.42857142857142</v>
      </c>
    </row>
    <row r="123" spans="1:7" ht="20.149999999999999" customHeight="1" x14ac:dyDescent="0.35">
      <c r="A123" s="2">
        <f t="shared" si="3"/>
        <v>111</v>
      </c>
      <c r="B123" s="14">
        <v>111</v>
      </c>
      <c r="C123" s="12" t="s">
        <v>300</v>
      </c>
      <c r="D123" s="14">
        <v>850</v>
      </c>
      <c r="E123" s="14">
        <v>6</v>
      </c>
      <c r="F123" s="14">
        <v>6</v>
      </c>
      <c r="G123" s="15">
        <f t="shared" si="2"/>
        <v>141.66666666666666</v>
      </c>
    </row>
    <row r="124" spans="1:7" ht="20.149999999999999" customHeight="1" x14ac:dyDescent="0.35">
      <c r="A124" s="2">
        <f t="shared" si="3"/>
        <v>112</v>
      </c>
      <c r="B124" s="14">
        <v>112</v>
      </c>
      <c r="C124" s="12" t="s">
        <v>299</v>
      </c>
      <c r="D124" s="14">
        <v>850</v>
      </c>
      <c r="E124" s="14">
        <v>5</v>
      </c>
      <c r="F124" s="14">
        <v>5</v>
      </c>
      <c r="G124" s="15">
        <f t="shared" si="2"/>
        <v>170</v>
      </c>
    </row>
    <row r="125" spans="1:7" ht="20.149999999999999" customHeight="1" x14ac:dyDescent="0.35">
      <c r="A125" s="2">
        <f t="shared" si="3"/>
        <v>113</v>
      </c>
      <c r="B125" s="14">
        <v>113</v>
      </c>
      <c r="C125" s="12" t="s">
        <v>56</v>
      </c>
      <c r="D125" s="14">
        <v>830</v>
      </c>
      <c r="E125" s="14">
        <v>5</v>
      </c>
      <c r="F125" s="14">
        <v>5</v>
      </c>
      <c r="G125" s="15">
        <f t="shared" si="2"/>
        <v>166</v>
      </c>
    </row>
    <row r="126" spans="1:7" ht="20.149999999999999" customHeight="1" x14ac:dyDescent="0.35">
      <c r="A126" s="2">
        <f t="shared" si="3"/>
        <v>114</v>
      </c>
      <c r="B126" s="14">
        <v>114</v>
      </c>
      <c r="C126" s="12" t="s">
        <v>294</v>
      </c>
      <c r="D126" s="14">
        <v>690</v>
      </c>
      <c r="E126" s="14">
        <v>5</v>
      </c>
      <c r="F126" s="14">
        <v>5</v>
      </c>
      <c r="G126" s="15">
        <f t="shared" si="2"/>
        <v>138</v>
      </c>
    </row>
    <row r="127" spans="1:7" ht="20.149999999999999" customHeight="1" x14ac:dyDescent="0.35">
      <c r="A127" s="2">
        <f t="shared" si="3"/>
        <v>115</v>
      </c>
      <c r="B127" s="14">
        <v>115</v>
      </c>
      <c r="C127" s="12" t="s">
        <v>307</v>
      </c>
      <c r="D127" s="14">
        <v>660</v>
      </c>
      <c r="E127" s="14">
        <v>3</v>
      </c>
      <c r="F127" s="14">
        <v>3</v>
      </c>
      <c r="G127" s="15">
        <f t="shared" si="2"/>
        <v>220</v>
      </c>
    </row>
    <row r="128" spans="1:7" ht="20.149999999999999" customHeight="1" x14ac:dyDescent="0.35">
      <c r="A128" s="2">
        <f t="shared" si="3"/>
        <v>116</v>
      </c>
      <c r="B128" s="14">
        <v>116</v>
      </c>
      <c r="C128" s="12" t="s">
        <v>150</v>
      </c>
      <c r="D128" s="14">
        <v>620</v>
      </c>
      <c r="E128" s="14">
        <v>4</v>
      </c>
      <c r="F128" s="14">
        <v>4</v>
      </c>
      <c r="G128" s="15">
        <f t="shared" si="2"/>
        <v>155</v>
      </c>
    </row>
    <row r="129" spans="1:7" ht="20.149999999999999" customHeight="1" x14ac:dyDescent="0.35">
      <c r="A129" s="2">
        <f t="shared" si="3"/>
        <v>117</v>
      </c>
      <c r="B129" s="14">
        <v>117</v>
      </c>
      <c r="C129" s="12" t="s">
        <v>309</v>
      </c>
      <c r="D129" s="14">
        <v>560</v>
      </c>
      <c r="E129" s="14">
        <v>3</v>
      </c>
      <c r="F129" s="14">
        <v>3</v>
      </c>
      <c r="G129" s="15">
        <f t="shared" si="2"/>
        <v>186.66666666666666</v>
      </c>
    </row>
    <row r="130" spans="1:7" ht="20.149999999999999" customHeight="1" x14ac:dyDescent="0.35">
      <c r="A130" s="2">
        <f t="shared" si="3"/>
        <v>118</v>
      </c>
      <c r="B130" s="14">
        <v>118</v>
      </c>
      <c r="C130" s="12" t="s">
        <v>277</v>
      </c>
      <c r="D130" s="14">
        <v>510</v>
      </c>
      <c r="E130" s="14">
        <v>3</v>
      </c>
      <c r="F130" s="14">
        <v>3</v>
      </c>
      <c r="G130" s="15">
        <f t="shared" si="2"/>
        <v>170</v>
      </c>
    </row>
    <row r="131" spans="1:7" ht="20.149999999999999" customHeight="1" x14ac:dyDescent="0.35">
      <c r="A131" s="2">
        <f t="shared" si="3"/>
        <v>119</v>
      </c>
      <c r="B131" s="14">
        <v>119</v>
      </c>
      <c r="C131" s="12" t="s">
        <v>314</v>
      </c>
      <c r="D131" s="14">
        <v>480</v>
      </c>
      <c r="E131" s="14">
        <v>3</v>
      </c>
      <c r="F131" s="14">
        <v>3</v>
      </c>
      <c r="G131" s="15">
        <f t="shared" si="2"/>
        <v>160</v>
      </c>
    </row>
    <row r="132" spans="1:7" ht="20.149999999999999" customHeight="1" x14ac:dyDescent="0.35">
      <c r="A132" s="2">
        <f t="shared" si="3"/>
        <v>120</v>
      </c>
      <c r="B132" s="14">
        <v>120</v>
      </c>
      <c r="C132" s="12" t="s">
        <v>315</v>
      </c>
      <c r="D132" s="14">
        <v>240</v>
      </c>
      <c r="E132" s="14">
        <v>2</v>
      </c>
      <c r="F132" s="14">
        <v>2</v>
      </c>
      <c r="G132" s="15">
        <f t="shared" si="2"/>
        <v>120</v>
      </c>
    </row>
    <row r="133" spans="1:7" ht="20.149999999999999" customHeight="1" x14ac:dyDescent="0.35">
      <c r="A133" s="2">
        <f t="shared" si="3"/>
        <v>121</v>
      </c>
      <c r="B133" s="14">
        <v>121</v>
      </c>
      <c r="C133" s="12" t="s">
        <v>247</v>
      </c>
      <c r="D133" s="14">
        <v>240</v>
      </c>
      <c r="E133" s="14">
        <v>1</v>
      </c>
      <c r="F133" s="14">
        <v>1</v>
      </c>
      <c r="G133" s="15">
        <f t="shared" si="2"/>
        <v>240</v>
      </c>
    </row>
    <row r="134" spans="1:7" ht="20.149999999999999" customHeight="1" x14ac:dyDescent="0.35">
      <c r="A134" s="2">
        <f t="shared" si="3"/>
        <v>122</v>
      </c>
      <c r="B134" s="14">
        <v>122</v>
      </c>
      <c r="C134" s="12" t="s">
        <v>308</v>
      </c>
      <c r="D134" s="14">
        <v>230</v>
      </c>
      <c r="E134" s="14">
        <v>2</v>
      </c>
      <c r="F134" s="14">
        <v>2</v>
      </c>
      <c r="G134" s="15">
        <f t="shared" si="2"/>
        <v>115</v>
      </c>
    </row>
    <row r="135" spans="1:7" ht="20.149999999999999" customHeight="1" x14ac:dyDescent="0.35">
      <c r="A135" s="2">
        <f t="shared" si="3"/>
        <v>123</v>
      </c>
      <c r="B135" s="14">
        <v>123</v>
      </c>
      <c r="C135" s="12" t="s">
        <v>311</v>
      </c>
      <c r="D135" s="14">
        <v>200</v>
      </c>
      <c r="E135" s="14">
        <v>1</v>
      </c>
      <c r="F135" s="14">
        <v>1</v>
      </c>
      <c r="G135" s="15">
        <f t="shared" si="2"/>
        <v>200</v>
      </c>
    </row>
    <row r="136" spans="1:7" ht="20.149999999999999" customHeight="1" x14ac:dyDescent="0.35">
      <c r="A136" s="2">
        <f t="shared" si="3"/>
        <v>124</v>
      </c>
      <c r="B136" s="14">
        <v>124</v>
      </c>
      <c r="C136" s="12" t="s">
        <v>20</v>
      </c>
      <c r="D136" s="14">
        <v>200</v>
      </c>
      <c r="E136" s="14">
        <v>1</v>
      </c>
      <c r="F136" s="14">
        <v>1</v>
      </c>
      <c r="G136" s="15">
        <f t="shared" si="2"/>
        <v>200</v>
      </c>
    </row>
    <row r="137" spans="1:7" ht="20.149999999999999" customHeight="1" x14ac:dyDescent="0.35">
      <c r="A137" s="2">
        <f t="shared" si="3"/>
        <v>125</v>
      </c>
      <c r="B137" s="14">
        <v>125</v>
      </c>
      <c r="C137" s="12" t="s">
        <v>192</v>
      </c>
      <c r="D137" s="14">
        <v>180</v>
      </c>
      <c r="E137" s="14">
        <v>1</v>
      </c>
      <c r="F137" s="14">
        <v>1</v>
      </c>
      <c r="G137" s="15">
        <f t="shared" si="2"/>
        <v>180</v>
      </c>
    </row>
    <row r="138" spans="1:7" ht="20.149999999999999" customHeight="1" x14ac:dyDescent="0.35">
      <c r="A138" s="2">
        <f t="shared" si="3"/>
        <v>126</v>
      </c>
      <c r="B138" s="14">
        <v>126</v>
      </c>
      <c r="C138" s="12" t="s">
        <v>333</v>
      </c>
      <c r="D138" s="14">
        <v>150</v>
      </c>
      <c r="E138" s="14">
        <v>2</v>
      </c>
      <c r="F138" s="14">
        <v>2</v>
      </c>
      <c r="G138" s="15">
        <f t="shared" si="2"/>
        <v>75</v>
      </c>
    </row>
    <row r="139" spans="1:7" ht="20.149999999999999" customHeight="1" x14ac:dyDescent="0.35">
      <c r="A139" s="2">
        <f t="shared" si="3"/>
        <v>127</v>
      </c>
      <c r="B139" s="14">
        <v>127</v>
      </c>
      <c r="C139" s="12" t="s">
        <v>304</v>
      </c>
      <c r="D139" s="14">
        <v>0</v>
      </c>
      <c r="E139" s="14">
        <v>0</v>
      </c>
      <c r="F139" s="14">
        <v>0</v>
      </c>
      <c r="G139" s="15">
        <f t="shared" si="2"/>
        <v>0</v>
      </c>
    </row>
    <row r="140" spans="1:7" ht="20.149999999999999" customHeight="1" x14ac:dyDescent="0.35">
      <c r="A140" s="2">
        <f t="shared" si="3"/>
        <v>128</v>
      </c>
      <c r="B140" s="14">
        <v>128</v>
      </c>
      <c r="C140" s="12" t="s">
        <v>271</v>
      </c>
      <c r="D140" s="14">
        <v>0</v>
      </c>
      <c r="E140" s="14">
        <v>0</v>
      </c>
      <c r="F140" s="14">
        <v>0</v>
      </c>
      <c r="G140" s="15">
        <f t="shared" si="2"/>
        <v>0</v>
      </c>
    </row>
    <row r="141" spans="1:7" ht="20.149999999999999" customHeight="1" x14ac:dyDescent="0.35">
      <c r="A141" s="2">
        <f t="shared" si="3"/>
        <v>129</v>
      </c>
      <c r="B141" s="14">
        <v>129</v>
      </c>
      <c r="C141" s="12" t="s">
        <v>288</v>
      </c>
      <c r="D141" s="14">
        <v>0</v>
      </c>
      <c r="E141" s="14">
        <v>0</v>
      </c>
      <c r="F141" s="14">
        <v>0</v>
      </c>
      <c r="G141" s="15">
        <f t="shared" ref="G141:G152" si="4">IFERROR(D141/F141,0)</f>
        <v>0</v>
      </c>
    </row>
    <row r="142" spans="1:7" ht="20.149999999999999" customHeight="1" x14ac:dyDescent="0.35">
      <c r="A142" s="2">
        <f t="shared" ref="A142:A152" si="5">ROW(A130)</f>
        <v>130</v>
      </c>
      <c r="B142" s="14">
        <v>130</v>
      </c>
      <c r="C142" s="12" t="s">
        <v>334</v>
      </c>
      <c r="D142" s="14">
        <v>0</v>
      </c>
      <c r="E142" s="14">
        <v>0</v>
      </c>
      <c r="F142" s="14">
        <v>0</v>
      </c>
      <c r="G142" s="15">
        <f t="shared" si="4"/>
        <v>0</v>
      </c>
    </row>
    <row r="143" spans="1:7" ht="20.149999999999999" customHeight="1" x14ac:dyDescent="0.35">
      <c r="A143" s="2">
        <f t="shared" si="5"/>
        <v>131</v>
      </c>
      <c r="B143" s="14">
        <v>131</v>
      </c>
      <c r="C143" s="12" t="s">
        <v>335</v>
      </c>
      <c r="D143" s="14">
        <v>0</v>
      </c>
      <c r="E143" s="14">
        <v>0</v>
      </c>
      <c r="F143" s="14">
        <v>0</v>
      </c>
      <c r="G143" s="15">
        <f t="shared" si="4"/>
        <v>0</v>
      </c>
    </row>
    <row r="144" spans="1:7" ht="20.149999999999999" customHeight="1" x14ac:dyDescent="0.35">
      <c r="A144" s="2">
        <f t="shared" si="5"/>
        <v>132</v>
      </c>
      <c r="B144" s="14">
        <v>132</v>
      </c>
      <c r="C144" s="12" t="s">
        <v>292</v>
      </c>
      <c r="D144" s="14">
        <v>0</v>
      </c>
      <c r="E144" s="14">
        <v>0</v>
      </c>
      <c r="F144" s="14">
        <v>0</v>
      </c>
      <c r="G144" s="15">
        <f t="shared" ref="G144:G151" si="6">IFERROR(D144/F144,0)</f>
        <v>0</v>
      </c>
    </row>
    <row r="145" spans="1:7" ht="20.149999999999999" customHeight="1" x14ac:dyDescent="0.35">
      <c r="A145" s="2">
        <f t="shared" si="5"/>
        <v>133</v>
      </c>
      <c r="B145" s="14">
        <v>133</v>
      </c>
      <c r="C145" s="12" t="s">
        <v>310</v>
      </c>
      <c r="D145" s="14">
        <v>0</v>
      </c>
      <c r="E145" s="14">
        <v>0</v>
      </c>
      <c r="F145" s="14">
        <v>0</v>
      </c>
      <c r="G145" s="15">
        <f t="shared" si="6"/>
        <v>0</v>
      </c>
    </row>
    <row r="146" spans="1:7" ht="20.149999999999999" customHeight="1" x14ac:dyDescent="0.35">
      <c r="A146" s="2">
        <f t="shared" si="5"/>
        <v>134</v>
      </c>
      <c r="B146" s="14">
        <v>134</v>
      </c>
      <c r="C146" s="12" t="s">
        <v>218</v>
      </c>
      <c r="D146" s="14">
        <v>0</v>
      </c>
      <c r="E146" s="14">
        <v>0</v>
      </c>
      <c r="F146" s="14">
        <v>0</v>
      </c>
      <c r="G146" s="15">
        <f t="shared" si="6"/>
        <v>0</v>
      </c>
    </row>
    <row r="147" spans="1:7" ht="20.149999999999999" customHeight="1" x14ac:dyDescent="0.35">
      <c r="A147" s="2">
        <f t="shared" si="5"/>
        <v>135</v>
      </c>
      <c r="B147" s="14">
        <v>135</v>
      </c>
      <c r="C147" s="12" t="s">
        <v>252</v>
      </c>
      <c r="D147" s="14">
        <v>0</v>
      </c>
      <c r="E147" s="14">
        <v>0</v>
      </c>
      <c r="F147" s="14">
        <v>0</v>
      </c>
      <c r="G147" s="15">
        <f t="shared" si="6"/>
        <v>0</v>
      </c>
    </row>
    <row r="148" spans="1:7" ht="20.149999999999999" customHeight="1" x14ac:dyDescent="0.35">
      <c r="A148" s="2">
        <f t="shared" si="5"/>
        <v>136</v>
      </c>
      <c r="B148" s="14">
        <v>136</v>
      </c>
      <c r="C148" s="12" t="s">
        <v>275</v>
      </c>
      <c r="D148" s="14">
        <v>0</v>
      </c>
      <c r="E148" s="14">
        <v>0</v>
      </c>
      <c r="F148" s="14">
        <v>0</v>
      </c>
      <c r="G148" s="15">
        <f t="shared" si="6"/>
        <v>0</v>
      </c>
    </row>
    <row r="149" spans="1:7" ht="20.149999999999999" customHeight="1" x14ac:dyDescent="0.35">
      <c r="A149" s="2">
        <f t="shared" si="5"/>
        <v>137</v>
      </c>
      <c r="B149" s="14">
        <v>137</v>
      </c>
      <c r="C149" s="12" t="s">
        <v>265</v>
      </c>
      <c r="D149" s="14">
        <v>0</v>
      </c>
      <c r="E149" s="14">
        <v>0</v>
      </c>
      <c r="F149" s="14">
        <v>0</v>
      </c>
      <c r="G149" s="15">
        <f t="shared" si="6"/>
        <v>0</v>
      </c>
    </row>
    <row r="150" spans="1:7" ht="20.149999999999999" customHeight="1" x14ac:dyDescent="0.35">
      <c r="A150" s="2">
        <f t="shared" si="5"/>
        <v>138</v>
      </c>
      <c r="B150" s="14">
        <v>138</v>
      </c>
      <c r="C150" s="12" t="s">
        <v>202</v>
      </c>
      <c r="D150" s="14">
        <v>0</v>
      </c>
      <c r="E150" s="14">
        <v>0</v>
      </c>
      <c r="F150" s="14">
        <v>0</v>
      </c>
      <c r="G150" s="15">
        <f t="shared" si="6"/>
        <v>0</v>
      </c>
    </row>
    <row r="151" spans="1:7" ht="20.149999999999999" customHeight="1" x14ac:dyDescent="0.35">
      <c r="A151" s="2">
        <f t="shared" si="5"/>
        <v>139</v>
      </c>
      <c r="B151" s="14">
        <v>139</v>
      </c>
      <c r="C151" s="12" t="s">
        <v>295</v>
      </c>
      <c r="D151" s="14">
        <v>0</v>
      </c>
      <c r="E151" s="14">
        <v>0</v>
      </c>
      <c r="F151" s="14">
        <v>0</v>
      </c>
      <c r="G151" s="15">
        <f t="shared" si="6"/>
        <v>0</v>
      </c>
    </row>
    <row r="152" spans="1:7" ht="20.149999999999999" customHeight="1" x14ac:dyDescent="0.35">
      <c r="A152" s="2">
        <f t="shared" si="5"/>
        <v>140</v>
      </c>
      <c r="B152" s="14">
        <v>140</v>
      </c>
      <c r="C152" s="12" t="s">
        <v>316</v>
      </c>
      <c r="D152" s="14">
        <v>0</v>
      </c>
      <c r="E152" s="14">
        <v>0</v>
      </c>
      <c r="F152" s="14">
        <v>0</v>
      </c>
      <c r="G152" s="15">
        <f t="shared" si="4"/>
        <v>0</v>
      </c>
    </row>
    <row r="153" spans="1:7" ht="20.149999999999999" customHeight="1" x14ac:dyDescent="0.35">
      <c r="B153" s="12" t="s">
        <v>131</v>
      </c>
      <c r="C153" s="12"/>
      <c r="D153" s="15">
        <f>SUBTOTAL(109,AllianceMobilization202607[Points
reached])</f>
        <v>280800</v>
      </c>
      <c r="E153" s="15">
        <f>SUBTOTAL(109,AllianceMobilization202607[Quests
started])</f>
        <v>1601</v>
      </c>
      <c r="F153" s="15">
        <f>SUBTOTAL(109,AllianceMobilization202607[Quests
completed])</f>
        <v>1601</v>
      </c>
      <c r="G153" s="16"/>
    </row>
    <row r="154" spans="1:7" ht="20.149999999999999" customHeight="1" x14ac:dyDescent="0.35">
      <c r="B154" s="5" t="s">
        <v>132</v>
      </c>
      <c r="C154" s="5"/>
      <c r="D154" s="6">
        <f>AVERAGE(D13:D152)</f>
        <v>2005.7142857142858</v>
      </c>
      <c r="E154" s="6">
        <f>AVERAGE(E13:E152)</f>
        <v>11.435714285714285</v>
      </c>
      <c r="F154" s="6">
        <f>AVERAGE(F13:F152)</f>
        <v>11.435714285714285</v>
      </c>
      <c r="G154" s="6">
        <f>AVERAGE(G13:G152)</f>
        <v>155.76809983348014</v>
      </c>
    </row>
  </sheetData>
  <mergeCells count="7">
    <mergeCell ref="B10:C10"/>
    <mergeCell ref="B3:C3"/>
    <mergeCell ref="B4:C4"/>
    <mergeCell ref="B5:C5"/>
    <mergeCell ref="B6:C6"/>
    <mergeCell ref="B7:C7"/>
    <mergeCell ref="B9:C9"/>
  </mergeCells>
  <conditionalFormatting sqref="D13:D152">
    <cfRule type="cellIs" dxfId="8" priority="1" operator="lessThan">
      <formula>$D$10</formula>
    </cfRule>
    <cfRule type="cellIs" dxfId="7" priority="2" operator="greaterThan">
      <formula>$D$10</formula>
    </cfRule>
    <cfRule type="cellIs" dxfId="6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scale="72" fitToHeight="0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599B-0EC7-4DAB-8206-6C1A436C155A}">
  <sheetPr>
    <pageSetUpPr fitToPage="1"/>
  </sheetPr>
  <dimension ref="A1:H151"/>
  <sheetViews>
    <sheetView topLeftCell="A93" zoomScaleNormal="100" workbookViewId="0">
      <selection activeCell="C113" sqref="C113"/>
    </sheetView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8" ht="24" customHeight="1" x14ac:dyDescent="0.35">
      <c r="B1" s="9" t="s">
        <v>337</v>
      </c>
      <c r="C1" s="10"/>
      <c r="D1" s="10"/>
    </row>
    <row r="2" spans="1:8" ht="20.149999999999999" customHeight="1" x14ac:dyDescent="0.35">
      <c r="B2" s="10"/>
      <c r="C2" s="10"/>
      <c r="D2" s="10"/>
    </row>
    <row r="3" spans="1:8" ht="20.149999999999999" customHeight="1" x14ac:dyDescent="0.35">
      <c r="B3" s="20" t="s">
        <v>236</v>
      </c>
      <c r="C3" s="20"/>
      <c r="D3" s="19">
        <v>3662</v>
      </c>
    </row>
    <row r="4" spans="1:8" ht="20.149999999999999" customHeight="1" x14ac:dyDescent="0.35">
      <c r="B4" s="20" t="s">
        <v>0</v>
      </c>
      <c r="C4" s="20"/>
      <c r="D4" s="10" t="s">
        <v>242</v>
      </c>
    </row>
    <row r="5" spans="1:8" ht="20.149999999999999" customHeight="1" x14ac:dyDescent="0.35">
      <c r="B5" s="20" t="s">
        <v>1</v>
      </c>
      <c r="C5" s="20"/>
      <c r="D5" s="10" t="s">
        <v>243</v>
      </c>
    </row>
    <row r="6" spans="1:8" ht="20.149999999999999" customHeight="1" x14ac:dyDescent="0.35">
      <c r="B6" s="20" t="s">
        <v>8</v>
      </c>
      <c r="C6" s="20"/>
      <c r="D6" s="11">
        <v>271150</v>
      </c>
    </row>
    <row r="7" spans="1:8" ht="20.149999999999999" customHeight="1" x14ac:dyDescent="0.35">
      <c r="B7" s="20" t="s">
        <v>6</v>
      </c>
      <c r="C7" s="20"/>
      <c r="D7" s="11" t="s">
        <v>136</v>
      </c>
      <c r="H7" s="19"/>
    </row>
    <row r="8" spans="1:8" ht="20.149999999999999" customHeight="1" x14ac:dyDescent="0.35">
      <c r="B8" s="3"/>
      <c r="C8" s="3" t="s">
        <v>210</v>
      </c>
      <c r="D8" s="11">
        <v>18</v>
      </c>
    </row>
    <row r="9" spans="1:8" ht="20.149999999999999" customHeight="1" x14ac:dyDescent="0.35">
      <c r="B9" s="20" t="s">
        <v>4</v>
      </c>
      <c r="C9" s="20"/>
      <c r="D9" s="10" t="s">
        <v>241</v>
      </c>
    </row>
    <row r="10" spans="1:8" ht="20.149999999999999" customHeight="1" x14ac:dyDescent="0.35">
      <c r="B10" s="20" t="s">
        <v>151</v>
      </c>
      <c r="C10" s="20"/>
      <c r="D10" s="11">
        <v>1800</v>
      </c>
    </row>
    <row r="11" spans="1:8" ht="20.149999999999999" customHeight="1" x14ac:dyDescent="0.35"/>
    <row r="12" spans="1:8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8" ht="20.149999999999999" customHeight="1" x14ac:dyDescent="0.35">
      <c r="A13" s="2">
        <f>ROW(A1)</f>
        <v>1</v>
      </c>
      <c r="B13" s="14">
        <v>1</v>
      </c>
      <c r="C13" s="12" t="s">
        <v>244</v>
      </c>
      <c r="D13" s="14">
        <v>6500</v>
      </c>
      <c r="E13" s="14">
        <v>34</v>
      </c>
      <c r="F13" s="14">
        <v>34</v>
      </c>
      <c r="G13" s="15">
        <f t="shared" ref="G13:G76" si="0">IFERROR(D13/F13,0)</f>
        <v>191.1764705882353</v>
      </c>
    </row>
    <row r="14" spans="1:8" ht="20.149999999999999" customHeight="1" x14ac:dyDescent="0.35">
      <c r="A14" s="2">
        <f t="shared" ref="A14:A77" si="1">ROW(A2)</f>
        <v>2</v>
      </c>
      <c r="B14" s="14">
        <v>2</v>
      </c>
      <c r="C14" s="12" t="s">
        <v>245</v>
      </c>
      <c r="D14" s="14">
        <v>5280</v>
      </c>
      <c r="E14" s="14">
        <v>31</v>
      </c>
      <c r="F14" s="14">
        <v>31</v>
      </c>
      <c r="G14" s="15">
        <f t="shared" si="0"/>
        <v>170.32258064516128</v>
      </c>
    </row>
    <row r="15" spans="1:8" ht="20.149999999999999" customHeight="1" x14ac:dyDescent="0.35">
      <c r="A15" s="2">
        <f t="shared" si="1"/>
        <v>3</v>
      </c>
      <c r="B15" s="14">
        <v>3</v>
      </c>
      <c r="C15" s="12" t="s">
        <v>192</v>
      </c>
      <c r="D15" s="14">
        <v>5020</v>
      </c>
      <c r="E15" s="14">
        <v>23</v>
      </c>
      <c r="F15" s="14">
        <v>23</v>
      </c>
      <c r="G15" s="15">
        <f t="shared" si="0"/>
        <v>218.2608695652174</v>
      </c>
    </row>
    <row r="16" spans="1:8" ht="20.149999999999999" customHeight="1" x14ac:dyDescent="0.35">
      <c r="A16" s="2">
        <f t="shared" si="1"/>
        <v>4</v>
      </c>
      <c r="B16" s="14">
        <v>4</v>
      </c>
      <c r="C16" s="12" t="s">
        <v>246</v>
      </c>
      <c r="D16" s="14">
        <v>4830</v>
      </c>
      <c r="E16" s="14">
        <v>23</v>
      </c>
      <c r="F16" s="14">
        <v>23</v>
      </c>
      <c r="G16" s="15">
        <f t="shared" si="0"/>
        <v>210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17</v>
      </c>
      <c r="D17" s="14">
        <v>4590</v>
      </c>
      <c r="E17" s="14">
        <v>22</v>
      </c>
      <c r="F17" s="14">
        <v>22</v>
      </c>
      <c r="G17" s="15">
        <f t="shared" si="0"/>
        <v>208.63636363636363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115</v>
      </c>
      <c r="D18" s="14">
        <v>4210</v>
      </c>
      <c r="E18" s="14">
        <v>24</v>
      </c>
      <c r="F18" s="14">
        <v>24</v>
      </c>
      <c r="G18" s="15">
        <f t="shared" si="0"/>
        <v>175.41666666666666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20</v>
      </c>
      <c r="D19" s="14">
        <v>4170</v>
      </c>
      <c r="E19" s="14">
        <v>22</v>
      </c>
      <c r="F19" s="14">
        <v>22</v>
      </c>
      <c r="G19" s="15">
        <f t="shared" si="0"/>
        <v>189.54545454545453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77</v>
      </c>
      <c r="D20" s="14">
        <v>4080</v>
      </c>
      <c r="E20" s="14">
        <v>19</v>
      </c>
      <c r="F20" s="14">
        <v>19</v>
      </c>
      <c r="G20" s="15">
        <f t="shared" si="0"/>
        <v>214.73684210526315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379</v>
      </c>
      <c r="D21" s="14">
        <v>4060</v>
      </c>
      <c r="E21" s="14">
        <v>22</v>
      </c>
      <c r="F21" s="14">
        <v>22</v>
      </c>
      <c r="G21" s="15">
        <f t="shared" si="0"/>
        <v>184.54545454545453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164</v>
      </c>
      <c r="D22" s="14">
        <v>3840</v>
      </c>
      <c r="E22" s="14">
        <v>20</v>
      </c>
      <c r="F22" s="14">
        <v>20</v>
      </c>
      <c r="G22" s="15">
        <f t="shared" si="0"/>
        <v>192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14</v>
      </c>
      <c r="D23" s="14">
        <v>3650</v>
      </c>
      <c r="E23" s="14">
        <v>19</v>
      </c>
      <c r="F23" s="14">
        <v>19</v>
      </c>
      <c r="G23" s="15">
        <f t="shared" si="0"/>
        <v>192.10526315789474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42</v>
      </c>
      <c r="D24" s="14">
        <v>3580</v>
      </c>
      <c r="E24" s="14">
        <v>21</v>
      </c>
      <c r="F24" s="14">
        <v>21</v>
      </c>
      <c r="G24" s="15">
        <f t="shared" si="0"/>
        <v>170.47619047619048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205</v>
      </c>
      <c r="D25" s="14">
        <v>3400</v>
      </c>
      <c r="E25" s="14">
        <v>18</v>
      </c>
      <c r="F25" s="14">
        <v>18</v>
      </c>
      <c r="G25" s="15">
        <f t="shared" si="0"/>
        <v>188.88888888888889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166</v>
      </c>
      <c r="D26" s="14">
        <v>3340</v>
      </c>
      <c r="E26" s="14">
        <v>18</v>
      </c>
      <c r="F26" s="14">
        <v>18</v>
      </c>
      <c r="G26" s="15">
        <f t="shared" si="0"/>
        <v>185.55555555555554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118</v>
      </c>
      <c r="D27" s="14">
        <v>3340</v>
      </c>
      <c r="E27" s="14">
        <v>16</v>
      </c>
      <c r="F27" s="14">
        <v>16</v>
      </c>
      <c r="G27" s="15">
        <f t="shared" si="0"/>
        <v>208.75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247</v>
      </c>
      <c r="D28" s="14">
        <v>3260</v>
      </c>
      <c r="E28" s="14">
        <v>17</v>
      </c>
      <c r="F28" s="14">
        <v>17</v>
      </c>
      <c r="G28" s="15">
        <f t="shared" si="0"/>
        <v>191.76470588235293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248</v>
      </c>
      <c r="D29" s="14">
        <v>3140</v>
      </c>
      <c r="E29" s="14">
        <v>16</v>
      </c>
      <c r="F29" s="14">
        <v>16</v>
      </c>
      <c r="G29" s="15">
        <f t="shared" si="0"/>
        <v>196.25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34</v>
      </c>
      <c r="D30" s="14">
        <v>3100</v>
      </c>
      <c r="E30" s="14">
        <v>17</v>
      </c>
      <c r="F30" s="14">
        <v>17</v>
      </c>
      <c r="G30" s="15">
        <f t="shared" si="0"/>
        <v>182.35294117647058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15</v>
      </c>
      <c r="D31" s="14">
        <v>3100</v>
      </c>
      <c r="E31" s="14">
        <v>17</v>
      </c>
      <c r="F31" s="14">
        <v>17</v>
      </c>
      <c r="G31" s="15">
        <f t="shared" si="0"/>
        <v>182.35294117647058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117</v>
      </c>
      <c r="D32" s="14">
        <v>2960</v>
      </c>
      <c r="E32" s="14">
        <v>17</v>
      </c>
      <c r="F32" s="14">
        <v>17</v>
      </c>
      <c r="G32" s="15">
        <f t="shared" si="0"/>
        <v>174.11764705882354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249</v>
      </c>
      <c r="D33" s="14">
        <v>2940</v>
      </c>
      <c r="E33" s="14">
        <v>16</v>
      </c>
      <c r="F33" s="14">
        <v>16</v>
      </c>
      <c r="G33" s="15">
        <f t="shared" si="0"/>
        <v>183.75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64</v>
      </c>
      <c r="D34" s="14">
        <v>2920</v>
      </c>
      <c r="E34" s="14">
        <v>17</v>
      </c>
      <c r="F34" s="14">
        <v>17</v>
      </c>
      <c r="G34" s="15">
        <f t="shared" si="0"/>
        <v>171.76470588235293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250</v>
      </c>
      <c r="D35" s="14">
        <v>2850</v>
      </c>
      <c r="E35" s="14">
        <v>18</v>
      </c>
      <c r="F35" s="14">
        <v>18</v>
      </c>
      <c r="G35" s="15">
        <f t="shared" si="0"/>
        <v>158.33333333333334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109</v>
      </c>
      <c r="D36" s="14">
        <v>2810</v>
      </c>
      <c r="E36" s="14">
        <v>16</v>
      </c>
      <c r="F36" s="14">
        <v>16</v>
      </c>
      <c r="G36" s="15">
        <f t="shared" si="0"/>
        <v>175.625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251</v>
      </c>
      <c r="D37" s="14">
        <v>2800</v>
      </c>
      <c r="E37" s="14">
        <v>15</v>
      </c>
      <c r="F37" s="14">
        <v>15</v>
      </c>
      <c r="G37" s="15">
        <f t="shared" si="0"/>
        <v>186.66666666666666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13</v>
      </c>
      <c r="D38" s="14">
        <v>2800</v>
      </c>
      <c r="E38" s="14">
        <v>14</v>
      </c>
      <c r="F38" s="14">
        <v>14</v>
      </c>
      <c r="G38" s="15">
        <f t="shared" si="0"/>
        <v>200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23</v>
      </c>
      <c r="D39" s="14">
        <v>2790</v>
      </c>
      <c r="E39" s="14">
        <v>16</v>
      </c>
      <c r="F39" s="14">
        <v>16</v>
      </c>
      <c r="G39" s="15">
        <f t="shared" si="0"/>
        <v>174.375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107</v>
      </c>
      <c r="D40" s="14">
        <v>2770</v>
      </c>
      <c r="E40" s="14">
        <v>17</v>
      </c>
      <c r="F40" s="14">
        <v>17</v>
      </c>
      <c r="G40" s="15">
        <f t="shared" si="0"/>
        <v>162.94117647058823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169</v>
      </c>
      <c r="D41" s="14">
        <v>2750</v>
      </c>
      <c r="E41" s="14">
        <v>16</v>
      </c>
      <c r="F41" s="14">
        <v>16</v>
      </c>
      <c r="G41" s="15">
        <f t="shared" si="0"/>
        <v>171.875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183</v>
      </c>
      <c r="D42" s="14">
        <v>2730</v>
      </c>
      <c r="E42" s="14">
        <v>17</v>
      </c>
      <c r="F42" s="14">
        <v>17</v>
      </c>
      <c r="G42" s="15">
        <f t="shared" si="0"/>
        <v>160.58823529411765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252</v>
      </c>
      <c r="D43" s="14">
        <v>2660</v>
      </c>
      <c r="E43" s="14">
        <v>14</v>
      </c>
      <c r="F43" s="14">
        <v>14</v>
      </c>
      <c r="G43" s="15">
        <f t="shared" si="0"/>
        <v>190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253</v>
      </c>
      <c r="D44" s="14">
        <v>2640</v>
      </c>
      <c r="E44" s="14">
        <v>15</v>
      </c>
      <c r="F44" s="14">
        <v>15</v>
      </c>
      <c r="G44" s="15">
        <f t="shared" si="0"/>
        <v>176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204</v>
      </c>
      <c r="D45" s="14">
        <v>2640</v>
      </c>
      <c r="E45" s="14">
        <v>14</v>
      </c>
      <c r="F45" s="14">
        <v>14</v>
      </c>
      <c r="G45" s="15">
        <f t="shared" si="0"/>
        <v>188.57142857142858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36</v>
      </c>
      <c r="D46" s="14">
        <v>2630</v>
      </c>
      <c r="E46" s="14">
        <v>13</v>
      </c>
      <c r="F46" s="14">
        <v>13</v>
      </c>
      <c r="G46" s="15">
        <f t="shared" si="0"/>
        <v>202.30769230769232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165</v>
      </c>
      <c r="D47" s="14">
        <v>2620</v>
      </c>
      <c r="E47" s="14">
        <v>14</v>
      </c>
      <c r="F47" s="14">
        <v>14</v>
      </c>
      <c r="G47" s="15">
        <f t="shared" si="0"/>
        <v>187.14285714285714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254</v>
      </c>
      <c r="D48" s="14">
        <v>2580</v>
      </c>
      <c r="E48" s="14">
        <v>14</v>
      </c>
      <c r="F48" s="14">
        <v>14</v>
      </c>
      <c r="G48" s="15">
        <f t="shared" si="0"/>
        <v>184.28571428571428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51</v>
      </c>
      <c r="D49" s="14">
        <v>2560</v>
      </c>
      <c r="E49" s="14">
        <v>13</v>
      </c>
      <c r="F49" s="14">
        <v>13</v>
      </c>
      <c r="G49" s="15">
        <f t="shared" si="0"/>
        <v>196.92307692307693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19</v>
      </c>
      <c r="D50" s="14">
        <v>2540</v>
      </c>
      <c r="E50" s="14">
        <v>15</v>
      </c>
      <c r="F50" s="14">
        <v>15</v>
      </c>
      <c r="G50" s="15">
        <f t="shared" si="0"/>
        <v>169.33333333333334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26</v>
      </c>
      <c r="D51" s="14">
        <v>2540</v>
      </c>
      <c r="E51" s="14">
        <v>15</v>
      </c>
      <c r="F51" s="14">
        <v>15</v>
      </c>
      <c r="G51" s="15">
        <f t="shared" si="0"/>
        <v>169.33333333333334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255</v>
      </c>
      <c r="D52" s="14">
        <v>2480</v>
      </c>
      <c r="E52" s="14">
        <v>15</v>
      </c>
      <c r="F52" s="14">
        <v>15</v>
      </c>
      <c r="G52" s="15">
        <f t="shared" si="0"/>
        <v>165.33333333333334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140</v>
      </c>
      <c r="D53" s="14">
        <v>2450</v>
      </c>
      <c r="E53" s="14">
        <v>15</v>
      </c>
      <c r="F53" s="14">
        <v>15</v>
      </c>
      <c r="G53" s="15">
        <f t="shared" si="0"/>
        <v>163.33333333333334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180</v>
      </c>
      <c r="D54" s="14">
        <v>2440</v>
      </c>
      <c r="E54" s="14">
        <v>17</v>
      </c>
      <c r="F54" s="14">
        <v>17</v>
      </c>
      <c r="G54" s="15">
        <f t="shared" si="0"/>
        <v>143.52941176470588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322</v>
      </c>
      <c r="D55" s="14">
        <v>2420</v>
      </c>
      <c r="E55" s="14">
        <v>15</v>
      </c>
      <c r="F55" s="14">
        <v>15</v>
      </c>
      <c r="G55" s="15">
        <f t="shared" si="0"/>
        <v>161.33333333333334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363</v>
      </c>
      <c r="D56" s="14">
        <v>2420</v>
      </c>
      <c r="E56" s="14">
        <v>14</v>
      </c>
      <c r="F56" s="14">
        <v>14</v>
      </c>
      <c r="G56" s="15">
        <f t="shared" si="0"/>
        <v>172.85714285714286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256</v>
      </c>
      <c r="D57" s="14">
        <v>2390</v>
      </c>
      <c r="E57" s="14">
        <v>15</v>
      </c>
      <c r="F57" s="14">
        <v>15</v>
      </c>
      <c r="G57" s="15">
        <f t="shared" si="0"/>
        <v>159.33333333333334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257</v>
      </c>
      <c r="D58" s="14">
        <v>2380</v>
      </c>
      <c r="E58" s="14">
        <v>14</v>
      </c>
      <c r="F58" s="14">
        <v>14</v>
      </c>
      <c r="G58" s="15">
        <f t="shared" si="0"/>
        <v>170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167</v>
      </c>
      <c r="D59" s="14">
        <v>2380</v>
      </c>
      <c r="E59" s="14">
        <v>13</v>
      </c>
      <c r="F59" s="14">
        <v>13</v>
      </c>
      <c r="G59" s="15">
        <f t="shared" si="0"/>
        <v>183.07692307692307</v>
      </c>
    </row>
    <row r="60" spans="1:7" ht="20.149999999999999" customHeight="1" x14ac:dyDescent="0.35">
      <c r="A60" s="2">
        <f t="shared" si="1"/>
        <v>48</v>
      </c>
      <c r="B60" s="14">
        <v>48</v>
      </c>
      <c r="C60" s="13" t="s">
        <v>321</v>
      </c>
      <c r="D60" s="14">
        <v>2380</v>
      </c>
      <c r="E60" s="14">
        <v>11</v>
      </c>
      <c r="F60" s="14">
        <v>11</v>
      </c>
      <c r="G60" s="15">
        <f t="shared" si="0"/>
        <v>216.36363636363637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258</v>
      </c>
      <c r="D61" s="14">
        <v>2370</v>
      </c>
      <c r="E61" s="14">
        <v>15</v>
      </c>
      <c r="F61" s="14">
        <v>15</v>
      </c>
      <c r="G61" s="15">
        <f t="shared" si="0"/>
        <v>158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259</v>
      </c>
      <c r="D62" s="14">
        <v>2360</v>
      </c>
      <c r="E62" s="14">
        <v>13</v>
      </c>
      <c r="F62" s="14">
        <v>13</v>
      </c>
      <c r="G62" s="15">
        <f t="shared" si="0"/>
        <v>181.53846153846155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260</v>
      </c>
      <c r="D63" s="14">
        <v>2340</v>
      </c>
      <c r="E63" s="14">
        <v>15</v>
      </c>
      <c r="F63" s="14">
        <v>15</v>
      </c>
      <c r="G63" s="15">
        <f t="shared" si="0"/>
        <v>156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111</v>
      </c>
      <c r="D64" s="14">
        <v>2240</v>
      </c>
      <c r="E64" s="14">
        <v>12</v>
      </c>
      <c r="F64" s="14">
        <v>12</v>
      </c>
      <c r="G64" s="15">
        <f t="shared" si="0"/>
        <v>186.66666666666666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110</v>
      </c>
      <c r="D65" s="14">
        <v>2240</v>
      </c>
      <c r="E65" s="14">
        <v>12</v>
      </c>
      <c r="F65" s="14">
        <v>12</v>
      </c>
      <c r="G65" s="15">
        <f t="shared" si="0"/>
        <v>186.66666666666666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112</v>
      </c>
      <c r="D66" s="14">
        <v>2220</v>
      </c>
      <c r="E66" s="14">
        <v>12</v>
      </c>
      <c r="F66" s="14">
        <v>12</v>
      </c>
      <c r="G66" s="15">
        <f t="shared" si="0"/>
        <v>185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261</v>
      </c>
      <c r="D67" s="14">
        <v>2200</v>
      </c>
      <c r="E67" s="14">
        <v>12</v>
      </c>
      <c r="F67" s="14">
        <v>12</v>
      </c>
      <c r="G67" s="15">
        <f t="shared" si="0"/>
        <v>183.33333333333334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175</v>
      </c>
      <c r="D68" s="14">
        <v>2190</v>
      </c>
      <c r="E68" s="14">
        <v>15</v>
      </c>
      <c r="F68" s="14">
        <v>15</v>
      </c>
      <c r="G68" s="15">
        <f t="shared" si="0"/>
        <v>146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262</v>
      </c>
      <c r="D69" s="14">
        <v>2180</v>
      </c>
      <c r="E69" s="14">
        <v>12</v>
      </c>
      <c r="F69" s="14">
        <v>12</v>
      </c>
      <c r="G69" s="15">
        <f t="shared" si="0"/>
        <v>181.66666666666666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44</v>
      </c>
      <c r="D70" s="14">
        <v>2180</v>
      </c>
      <c r="E70" s="14">
        <v>11</v>
      </c>
      <c r="F70" s="14">
        <v>11</v>
      </c>
      <c r="G70" s="15">
        <f t="shared" si="0"/>
        <v>198.18181818181819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263</v>
      </c>
      <c r="D71" s="14">
        <v>2160</v>
      </c>
      <c r="E71" s="14">
        <v>12</v>
      </c>
      <c r="F71" s="14">
        <v>12</v>
      </c>
      <c r="G71" s="15">
        <f t="shared" si="0"/>
        <v>180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54</v>
      </c>
      <c r="D72" s="14">
        <v>2120</v>
      </c>
      <c r="E72" s="14">
        <v>14</v>
      </c>
      <c r="F72" s="14">
        <v>14</v>
      </c>
      <c r="G72" s="15">
        <f t="shared" si="0"/>
        <v>151.42857142857142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264</v>
      </c>
      <c r="D73" s="14">
        <v>2120</v>
      </c>
      <c r="E73" s="14">
        <v>14</v>
      </c>
      <c r="F73" s="14">
        <v>14</v>
      </c>
      <c r="G73" s="15">
        <f t="shared" si="0"/>
        <v>151.42857142857142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265</v>
      </c>
      <c r="D74" s="14">
        <v>2120</v>
      </c>
      <c r="E74" s="14">
        <v>11</v>
      </c>
      <c r="F74" s="14">
        <v>11</v>
      </c>
      <c r="G74" s="15">
        <f t="shared" si="0"/>
        <v>192.72727272727272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168</v>
      </c>
      <c r="D75" s="14">
        <v>2110</v>
      </c>
      <c r="E75" s="14">
        <v>12</v>
      </c>
      <c r="F75" s="14">
        <v>12</v>
      </c>
      <c r="G75" s="15">
        <f t="shared" si="0"/>
        <v>175.83333333333334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187</v>
      </c>
      <c r="D76" s="14">
        <v>2100</v>
      </c>
      <c r="E76" s="14">
        <v>13</v>
      </c>
      <c r="F76" s="14">
        <v>13</v>
      </c>
      <c r="G76" s="15">
        <f t="shared" si="0"/>
        <v>161.53846153846155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21</v>
      </c>
      <c r="D77" s="14">
        <v>2090</v>
      </c>
      <c r="E77" s="14">
        <v>13</v>
      </c>
      <c r="F77" s="14">
        <v>13</v>
      </c>
      <c r="G77" s="15">
        <f t="shared" ref="G77:G140" si="2">IFERROR(D77/F77,0)</f>
        <v>160.76923076923077</v>
      </c>
    </row>
    <row r="78" spans="1:7" ht="20.149999999999999" customHeight="1" x14ac:dyDescent="0.35">
      <c r="A78" s="2">
        <f t="shared" ref="A78:A141" si="3">ROW(A66)</f>
        <v>66</v>
      </c>
      <c r="B78" s="14">
        <v>66</v>
      </c>
      <c r="C78" s="12" t="s">
        <v>161</v>
      </c>
      <c r="D78" s="14">
        <v>2080</v>
      </c>
      <c r="E78" s="14">
        <v>14</v>
      </c>
      <c r="F78" s="14">
        <v>14</v>
      </c>
      <c r="G78" s="15">
        <f t="shared" si="2"/>
        <v>148.57142857142858</v>
      </c>
    </row>
    <row r="79" spans="1:7" ht="20.149999999999999" customHeight="1" x14ac:dyDescent="0.35">
      <c r="A79" s="2">
        <f t="shared" si="3"/>
        <v>67</v>
      </c>
      <c r="B79" s="14">
        <v>67</v>
      </c>
      <c r="C79" s="12" t="s">
        <v>266</v>
      </c>
      <c r="D79" s="14">
        <v>2070</v>
      </c>
      <c r="E79" s="14">
        <v>12</v>
      </c>
      <c r="F79" s="14">
        <v>12</v>
      </c>
      <c r="G79" s="15">
        <f t="shared" si="2"/>
        <v>172.5</v>
      </c>
    </row>
    <row r="80" spans="1:7" ht="20.149999999999999" customHeight="1" x14ac:dyDescent="0.35">
      <c r="A80" s="2">
        <f t="shared" si="3"/>
        <v>68</v>
      </c>
      <c r="B80" s="14">
        <v>68</v>
      </c>
      <c r="C80" s="12" t="s">
        <v>267</v>
      </c>
      <c r="D80" s="14">
        <v>2040</v>
      </c>
      <c r="E80" s="14">
        <v>13</v>
      </c>
      <c r="F80" s="14">
        <v>13</v>
      </c>
      <c r="G80" s="15">
        <f t="shared" si="2"/>
        <v>156.92307692307693</v>
      </c>
    </row>
    <row r="81" spans="1:7" ht="20.149999999999999" customHeight="1" x14ac:dyDescent="0.35">
      <c r="A81" s="2">
        <f t="shared" si="3"/>
        <v>69</v>
      </c>
      <c r="B81" s="14">
        <v>69</v>
      </c>
      <c r="C81" s="12" t="s">
        <v>268</v>
      </c>
      <c r="D81" s="14">
        <v>2040</v>
      </c>
      <c r="E81" s="14">
        <v>11</v>
      </c>
      <c r="F81" s="14">
        <v>11</v>
      </c>
      <c r="G81" s="15">
        <f t="shared" si="2"/>
        <v>185.45454545454547</v>
      </c>
    </row>
    <row r="82" spans="1:7" ht="20.149999999999999" customHeight="1" x14ac:dyDescent="0.35">
      <c r="A82" s="2">
        <f t="shared" si="3"/>
        <v>70</v>
      </c>
      <c r="B82" s="14">
        <v>70</v>
      </c>
      <c r="C82" s="12" t="s">
        <v>269</v>
      </c>
      <c r="D82" s="14">
        <v>2040</v>
      </c>
      <c r="E82" s="14">
        <v>11</v>
      </c>
      <c r="F82" s="14">
        <v>11</v>
      </c>
      <c r="G82" s="15">
        <f t="shared" si="2"/>
        <v>185.45454545454547</v>
      </c>
    </row>
    <row r="83" spans="1:7" ht="20.149999999999999" customHeight="1" x14ac:dyDescent="0.35">
      <c r="A83" s="2">
        <f t="shared" si="3"/>
        <v>71</v>
      </c>
      <c r="B83" s="14">
        <v>71</v>
      </c>
      <c r="C83" s="12" t="s">
        <v>37</v>
      </c>
      <c r="D83" s="14">
        <v>2040</v>
      </c>
      <c r="E83" s="14">
        <v>10</v>
      </c>
      <c r="F83" s="14">
        <v>10</v>
      </c>
      <c r="G83" s="15">
        <f t="shared" si="2"/>
        <v>204</v>
      </c>
    </row>
    <row r="84" spans="1:7" ht="20.149999999999999" customHeight="1" x14ac:dyDescent="0.35">
      <c r="A84" s="2">
        <f t="shared" si="3"/>
        <v>72</v>
      </c>
      <c r="B84" s="14">
        <v>72</v>
      </c>
      <c r="C84" s="12" t="s">
        <v>270</v>
      </c>
      <c r="D84" s="14">
        <v>2020</v>
      </c>
      <c r="E84" s="14">
        <v>14</v>
      </c>
      <c r="F84" s="14">
        <v>14</v>
      </c>
      <c r="G84" s="15">
        <f t="shared" si="2"/>
        <v>144.28571428571428</v>
      </c>
    </row>
    <row r="85" spans="1:7" ht="20.149999999999999" customHeight="1" x14ac:dyDescent="0.35">
      <c r="A85" s="2">
        <f t="shared" si="3"/>
        <v>73</v>
      </c>
      <c r="B85" s="14">
        <v>73</v>
      </c>
      <c r="C85" s="12" t="s">
        <v>271</v>
      </c>
      <c r="D85" s="14">
        <v>2020</v>
      </c>
      <c r="E85" s="14">
        <v>10</v>
      </c>
      <c r="F85" s="14">
        <v>10</v>
      </c>
      <c r="G85" s="15">
        <f t="shared" si="2"/>
        <v>202</v>
      </c>
    </row>
    <row r="86" spans="1:7" ht="20.149999999999999" customHeight="1" x14ac:dyDescent="0.35">
      <c r="A86" s="2">
        <f t="shared" si="3"/>
        <v>74</v>
      </c>
      <c r="B86" s="14">
        <v>74</v>
      </c>
      <c r="C86" s="12" t="s">
        <v>272</v>
      </c>
      <c r="D86" s="14">
        <v>2010</v>
      </c>
      <c r="E86" s="14">
        <v>11</v>
      </c>
      <c r="F86" s="14">
        <v>11</v>
      </c>
      <c r="G86" s="15">
        <f t="shared" si="2"/>
        <v>182.72727272727272</v>
      </c>
    </row>
    <row r="87" spans="1:7" ht="20.149999999999999" customHeight="1" x14ac:dyDescent="0.35">
      <c r="A87" s="2">
        <f t="shared" si="3"/>
        <v>75</v>
      </c>
      <c r="B87" s="14">
        <v>75</v>
      </c>
      <c r="C87" s="12" t="s">
        <v>273</v>
      </c>
      <c r="D87" s="14">
        <v>2000</v>
      </c>
      <c r="E87" s="14">
        <v>14</v>
      </c>
      <c r="F87" s="14">
        <v>14</v>
      </c>
      <c r="G87" s="15">
        <f t="shared" si="2"/>
        <v>142.85714285714286</v>
      </c>
    </row>
    <row r="88" spans="1:7" ht="20.149999999999999" customHeight="1" x14ac:dyDescent="0.35">
      <c r="A88" s="2">
        <f t="shared" si="3"/>
        <v>76</v>
      </c>
      <c r="B88" s="14">
        <v>76</v>
      </c>
      <c r="C88" s="12" t="s">
        <v>274</v>
      </c>
      <c r="D88" s="14">
        <v>2000</v>
      </c>
      <c r="E88" s="14">
        <v>11</v>
      </c>
      <c r="F88" s="14">
        <v>11</v>
      </c>
      <c r="G88" s="15">
        <f t="shared" si="2"/>
        <v>181.81818181818181</v>
      </c>
    </row>
    <row r="89" spans="1:7" ht="20.149999999999999" customHeight="1" x14ac:dyDescent="0.35">
      <c r="A89" s="2">
        <f t="shared" si="3"/>
        <v>77</v>
      </c>
      <c r="B89" s="14">
        <v>77</v>
      </c>
      <c r="C89" s="12" t="s">
        <v>344</v>
      </c>
      <c r="D89" s="14">
        <v>1990</v>
      </c>
      <c r="E89" s="14">
        <v>13</v>
      </c>
      <c r="F89" s="14">
        <v>13</v>
      </c>
      <c r="G89" s="15">
        <f t="shared" si="2"/>
        <v>153.07692307692307</v>
      </c>
    </row>
    <row r="90" spans="1:7" ht="20.149999999999999" customHeight="1" x14ac:dyDescent="0.35">
      <c r="A90" s="2">
        <f t="shared" si="3"/>
        <v>78</v>
      </c>
      <c r="B90" s="14">
        <v>78</v>
      </c>
      <c r="C90" s="12" t="s">
        <v>275</v>
      </c>
      <c r="D90" s="14">
        <v>1960</v>
      </c>
      <c r="E90" s="14">
        <v>9</v>
      </c>
      <c r="F90" s="14">
        <v>9</v>
      </c>
      <c r="G90" s="15">
        <f t="shared" si="2"/>
        <v>217.77777777777777</v>
      </c>
    </row>
    <row r="91" spans="1:7" ht="20.149999999999999" customHeight="1" x14ac:dyDescent="0.35">
      <c r="A91" s="2">
        <f t="shared" si="3"/>
        <v>79</v>
      </c>
      <c r="B91" s="14">
        <v>79</v>
      </c>
      <c r="C91" s="12" t="s">
        <v>24</v>
      </c>
      <c r="D91" s="14">
        <v>1950</v>
      </c>
      <c r="E91" s="14">
        <v>11</v>
      </c>
      <c r="F91" s="14">
        <v>11</v>
      </c>
      <c r="G91" s="15">
        <f t="shared" si="2"/>
        <v>177.27272727272728</v>
      </c>
    </row>
    <row r="92" spans="1:7" ht="20.149999999999999" customHeight="1" x14ac:dyDescent="0.35">
      <c r="A92" s="2">
        <f t="shared" si="3"/>
        <v>80</v>
      </c>
      <c r="B92" s="14">
        <v>80</v>
      </c>
      <c r="C92" s="12" t="s">
        <v>276</v>
      </c>
      <c r="D92" s="14">
        <v>1920</v>
      </c>
      <c r="E92" s="14">
        <v>13</v>
      </c>
      <c r="F92" s="14">
        <v>13</v>
      </c>
      <c r="G92" s="15">
        <f t="shared" si="2"/>
        <v>147.69230769230768</v>
      </c>
    </row>
    <row r="93" spans="1:7" ht="20.149999999999999" customHeight="1" x14ac:dyDescent="0.35">
      <c r="A93" s="2">
        <f t="shared" si="3"/>
        <v>81</v>
      </c>
      <c r="B93" s="14">
        <v>81</v>
      </c>
      <c r="C93" s="12" t="s">
        <v>277</v>
      </c>
      <c r="D93" s="14">
        <v>1920</v>
      </c>
      <c r="E93" s="14">
        <v>10</v>
      </c>
      <c r="F93" s="14">
        <v>10</v>
      </c>
      <c r="G93" s="15">
        <f t="shared" si="2"/>
        <v>192</v>
      </c>
    </row>
    <row r="94" spans="1:7" ht="20.149999999999999" customHeight="1" x14ac:dyDescent="0.35">
      <c r="A94" s="2">
        <f t="shared" si="3"/>
        <v>82</v>
      </c>
      <c r="B94" s="14">
        <v>82</v>
      </c>
      <c r="C94" s="12" t="s">
        <v>97</v>
      </c>
      <c r="D94" s="14">
        <v>1910</v>
      </c>
      <c r="E94" s="14">
        <v>11</v>
      </c>
      <c r="F94" s="14">
        <v>11</v>
      </c>
      <c r="G94" s="15">
        <f t="shared" si="2"/>
        <v>173.63636363636363</v>
      </c>
    </row>
    <row r="95" spans="1:7" ht="20.149999999999999" customHeight="1" x14ac:dyDescent="0.35">
      <c r="A95" s="2">
        <f t="shared" si="3"/>
        <v>83</v>
      </c>
      <c r="B95" s="14">
        <v>83</v>
      </c>
      <c r="C95" s="12" t="s">
        <v>278</v>
      </c>
      <c r="D95" s="14">
        <v>1890</v>
      </c>
      <c r="E95" s="14">
        <v>14</v>
      </c>
      <c r="F95" s="14">
        <v>14</v>
      </c>
      <c r="G95" s="15">
        <f t="shared" si="2"/>
        <v>135</v>
      </c>
    </row>
    <row r="96" spans="1:7" ht="20.149999999999999" customHeight="1" x14ac:dyDescent="0.35">
      <c r="A96" s="2">
        <f t="shared" si="3"/>
        <v>84</v>
      </c>
      <c r="B96" s="14">
        <v>84</v>
      </c>
      <c r="C96" s="12" t="s">
        <v>279</v>
      </c>
      <c r="D96" s="14">
        <v>1890</v>
      </c>
      <c r="E96" s="14">
        <v>10</v>
      </c>
      <c r="F96" s="14">
        <v>10</v>
      </c>
      <c r="G96" s="15">
        <f t="shared" si="2"/>
        <v>189</v>
      </c>
    </row>
    <row r="97" spans="1:7" ht="20.149999999999999" customHeight="1" x14ac:dyDescent="0.35">
      <c r="A97" s="2">
        <f t="shared" si="3"/>
        <v>85</v>
      </c>
      <c r="B97" s="14">
        <v>85</v>
      </c>
      <c r="C97" s="12" t="s">
        <v>280</v>
      </c>
      <c r="D97" s="14">
        <v>1880</v>
      </c>
      <c r="E97" s="14">
        <v>11</v>
      </c>
      <c r="F97" s="14">
        <v>11</v>
      </c>
      <c r="G97" s="15">
        <f t="shared" si="2"/>
        <v>170.90909090909091</v>
      </c>
    </row>
    <row r="98" spans="1:7" ht="20.149999999999999" customHeight="1" x14ac:dyDescent="0.35">
      <c r="A98" s="2">
        <f t="shared" si="3"/>
        <v>86</v>
      </c>
      <c r="B98" s="14">
        <v>86</v>
      </c>
      <c r="C98" s="12" t="s">
        <v>91</v>
      </c>
      <c r="D98" s="14">
        <v>1880</v>
      </c>
      <c r="E98" s="14">
        <v>11</v>
      </c>
      <c r="F98" s="14">
        <v>11</v>
      </c>
      <c r="G98" s="15">
        <f t="shared" si="2"/>
        <v>170.90909090909091</v>
      </c>
    </row>
    <row r="99" spans="1:7" ht="20.149999999999999" customHeight="1" x14ac:dyDescent="0.35">
      <c r="A99" s="2">
        <f t="shared" si="3"/>
        <v>87</v>
      </c>
      <c r="B99" s="14">
        <v>87</v>
      </c>
      <c r="C99" s="12" t="s">
        <v>281</v>
      </c>
      <c r="D99" s="14">
        <v>1860</v>
      </c>
      <c r="E99" s="14">
        <v>10</v>
      </c>
      <c r="F99" s="14">
        <v>10</v>
      </c>
      <c r="G99" s="15">
        <f t="shared" si="2"/>
        <v>186</v>
      </c>
    </row>
    <row r="100" spans="1:7" ht="20.149999999999999" customHeight="1" x14ac:dyDescent="0.35">
      <c r="A100" s="2">
        <f t="shared" si="3"/>
        <v>88</v>
      </c>
      <c r="B100" s="14">
        <v>88</v>
      </c>
      <c r="C100" s="12" t="s">
        <v>126</v>
      </c>
      <c r="D100" s="14">
        <v>1850</v>
      </c>
      <c r="E100" s="14">
        <v>13</v>
      </c>
      <c r="F100" s="14">
        <v>13</v>
      </c>
      <c r="G100" s="15">
        <f t="shared" si="2"/>
        <v>142.30769230769232</v>
      </c>
    </row>
    <row r="101" spans="1:7" ht="20.149999999999999" customHeight="1" x14ac:dyDescent="0.35">
      <c r="A101" s="2">
        <f t="shared" si="3"/>
        <v>89</v>
      </c>
      <c r="B101" s="14">
        <v>89</v>
      </c>
      <c r="C101" s="12" t="s">
        <v>191</v>
      </c>
      <c r="D101" s="14">
        <v>1840</v>
      </c>
      <c r="E101" s="14">
        <v>11</v>
      </c>
      <c r="F101" s="14">
        <v>11</v>
      </c>
      <c r="G101" s="15">
        <f t="shared" si="2"/>
        <v>167.27272727272728</v>
      </c>
    </row>
    <row r="102" spans="1:7" ht="20.149999999999999" customHeight="1" x14ac:dyDescent="0.35">
      <c r="A102" s="2">
        <f t="shared" si="3"/>
        <v>90</v>
      </c>
      <c r="B102" s="14">
        <v>90</v>
      </c>
      <c r="C102" s="12" t="s">
        <v>282</v>
      </c>
      <c r="D102" s="14">
        <v>1820</v>
      </c>
      <c r="E102" s="14">
        <v>12</v>
      </c>
      <c r="F102" s="14">
        <v>12</v>
      </c>
      <c r="G102" s="15">
        <f t="shared" si="2"/>
        <v>151.66666666666666</v>
      </c>
    </row>
    <row r="103" spans="1:7" ht="20.149999999999999" customHeight="1" x14ac:dyDescent="0.35">
      <c r="A103" s="2">
        <f t="shared" si="3"/>
        <v>91</v>
      </c>
      <c r="B103" s="14">
        <v>91</v>
      </c>
      <c r="C103" s="12" t="s">
        <v>283</v>
      </c>
      <c r="D103" s="14">
        <v>1820</v>
      </c>
      <c r="E103" s="14">
        <v>11</v>
      </c>
      <c r="F103" s="14">
        <v>11</v>
      </c>
      <c r="G103" s="15">
        <f t="shared" si="2"/>
        <v>165.45454545454547</v>
      </c>
    </row>
    <row r="104" spans="1:7" ht="20.149999999999999" customHeight="1" x14ac:dyDescent="0.35">
      <c r="A104" s="2">
        <f t="shared" si="3"/>
        <v>92</v>
      </c>
      <c r="B104" s="14">
        <v>92</v>
      </c>
      <c r="C104" s="12" t="s">
        <v>113</v>
      </c>
      <c r="D104" s="14">
        <v>1820</v>
      </c>
      <c r="E104" s="14">
        <v>9</v>
      </c>
      <c r="F104" s="14">
        <v>9</v>
      </c>
      <c r="G104" s="15">
        <f t="shared" si="2"/>
        <v>202.22222222222223</v>
      </c>
    </row>
    <row r="105" spans="1:7" ht="20.149999999999999" customHeight="1" x14ac:dyDescent="0.35">
      <c r="A105" s="2">
        <f t="shared" si="3"/>
        <v>93</v>
      </c>
      <c r="B105" s="14">
        <v>93</v>
      </c>
      <c r="C105" s="12" t="s">
        <v>284</v>
      </c>
      <c r="D105" s="14">
        <v>1800</v>
      </c>
      <c r="E105" s="14">
        <v>13</v>
      </c>
      <c r="F105" s="14">
        <v>13</v>
      </c>
      <c r="G105" s="15">
        <f t="shared" si="2"/>
        <v>138.46153846153845</v>
      </c>
    </row>
    <row r="106" spans="1:7" ht="20.149999999999999" customHeight="1" x14ac:dyDescent="0.35">
      <c r="A106" s="2">
        <f t="shared" si="3"/>
        <v>94</v>
      </c>
      <c r="B106" s="14">
        <v>94</v>
      </c>
      <c r="C106" s="12" t="s">
        <v>285</v>
      </c>
      <c r="D106" s="14">
        <v>1800</v>
      </c>
      <c r="E106" s="14">
        <v>12</v>
      </c>
      <c r="F106" s="14">
        <v>12</v>
      </c>
      <c r="G106" s="15">
        <f t="shared" si="2"/>
        <v>150</v>
      </c>
    </row>
    <row r="107" spans="1:7" ht="20.149999999999999" customHeight="1" x14ac:dyDescent="0.35">
      <c r="A107" s="2">
        <f t="shared" si="3"/>
        <v>95</v>
      </c>
      <c r="B107" s="14">
        <v>95</v>
      </c>
      <c r="C107" s="12" t="s">
        <v>74</v>
      </c>
      <c r="D107" s="14">
        <v>1800</v>
      </c>
      <c r="E107" s="14">
        <v>11</v>
      </c>
      <c r="F107" s="14">
        <v>11</v>
      </c>
      <c r="G107" s="15">
        <f t="shared" si="2"/>
        <v>163.63636363636363</v>
      </c>
    </row>
    <row r="108" spans="1:7" ht="20.149999999999999" customHeight="1" x14ac:dyDescent="0.35">
      <c r="A108" s="2">
        <f t="shared" si="3"/>
        <v>96</v>
      </c>
      <c r="B108" s="14">
        <v>96</v>
      </c>
      <c r="C108" s="12" t="s">
        <v>286</v>
      </c>
      <c r="D108" s="14">
        <v>1770</v>
      </c>
      <c r="E108" s="14">
        <v>10</v>
      </c>
      <c r="F108" s="14">
        <v>10</v>
      </c>
      <c r="G108" s="15">
        <f t="shared" si="2"/>
        <v>177</v>
      </c>
    </row>
    <row r="109" spans="1:7" ht="20.149999999999999" customHeight="1" x14ac:dyDescent="0.35">
      <c r="A109" s="2">
        <f t="shared" si="3"/>
        <v>97</v>
      </c>
      <c r="B109" s="14">
        <v>97</v>
      </c>
      <c r="C109" s="12" t="s">
        <v>61</v>
      </c>
      <c r="D109" s="14">
        <v>1760</v>
      </c>
      <c r="E109" s="14">
        <v>14</v>
      </c>
      <c r="F109" s="14">
        <v>14</v>
      </c>
      <c r="G109" s="15">
        <f t="shared" si="2"/>
        <v>125.71428571428571</v>
      </c>
    </row>
    <row r="110" spans="1:7" ht="20.149999999999999" customHeight="1" x14ac:dyDescent="0.35">
      <c r="A110" s="2">
        <f t="shared" si="3"/>
        <v>98</v>
      </c>
      <c r="B110" s="14">
        <v>98</v>
      </c>
      <c r="C110" s="12" t="s">
        <v>287</v>
      </c>
      <c r="D110" s="14">
        <v>1700</v>
      </c>
      <c r="E110" s="14">
        <v>9</v>
      </c>
      <c r="F110" s="14">
        <v>9</v>
      </c>
      <c r="G110" s="15">
        <f t="shared" si="2"/>
        <v>188.88888888888889</v>
      </c>
    </row>
    <row r="111" spans="1:7" ht="20.149999999999999" customHeight="1" x14ac:dyDescent="0.35">
      <c r="A111" s="2">
        <f t="shared" si="3"/>
        <v>99</v>
      </c>
      <c r="B111" s="14">
        <v>99</v>
      </c>
      <c r="C111" s="12" t="s">
        <v>288</v>
      </c>
      <c r="D111" s="14">
        <v>1530</v>
      </c>
      <c r="E111" s="14">
        <v>9</v>
      </c>
      <c r="F111" s="14">
        <v>9</v>
      </c>
      <c r="G111" s="15">
        <f t="shared" si="2"/>
        <v>170</v>
      </c>
    </row>
    <row r="112" spans="1:7" ht="20.149999999999999" customHeight="1" x14ac:dyDescent="0.35">
      <c r="A112" s="2">
        <f t="shared" si="3"/>
        <v>100</v>
      </c>
      <c r="B112" s="14">
        <v>100</v>
      </c>
      <c r="C112" s="12" t="s">
        <v>289</v>
      </c>
      <c r="D112" s="14">
        <v>1510</v>
      </c>
      <c r="E112" s="14">
        <v>10</v>
      </c>
      <c r="F112" s="14">
        <v>10</v>
      </c>
      <c r="G112" s="15">
        <f t="shared" si="2"/>
        <v>151</v>
      </c>
    </row>
    <row r="113" spans="1:7" ht="20.149999999999999" customHeight="1" x14ac:dyDescent="0.35">
      <c r="A113" s="2">
        <f t="shared" si="3"/>
        <v>101</v>
      </c>
      <c r="B113" s="14">
        <v>101</v>
      </c>
      <c r="C113" s="12" t="s">
        <v>383</v>
      </c>
      <c r="D113" s="14">
        <v>1480</v>
      </c>
      <c r="E113" s="14">
        <v>10</v>
      </c>
      <c r="F113" s="14">
        <v>10</v>
      </c>
      <c r="G113" s="15">
        <f t="shared" si="2"/>
        <v>148</v>
      </c>
    </row>
    <row r="114" spans="1:7" ht="20.149999999999999" customHeight="1" x14ac:dyDescent="0.35">
      <c r="A114" s="2">
        <f t="shared" si="3"/>
        <v>102</v>
      </c>
      <c r="B114" s="14">
        <v>102</v>
      </c>
      <c r="C114" s="12" t="s">
        <v>145</v>
      </c>
      <c r="D114" s="14">
        <v>1270</v>
      </c>
      <c r="E114" s="14">
        <v>10</v>
      </c>
      <c r="F114" s="14">
        <v>10</v>
      </c>
      <c r="G114" s="15">
        <f t="shared" si="2"/>
        <v>127</v>
      </c>
    </row>
    <row r="115" spans="1:7" ht="20.149999999999999" customHeight="1" x14ac:dyDescent="0.35">
      <c r="A115" s="2">
        <f t="shared" si="3"/>
        <v>103</v>
      </c>
      <c r="B115" s="14">
        <v>103</v>
      </c>
      <c r="C115" s="12" t="s">
        <v>343</v>
      </c>
      <c r="D115" s="14">
        <v>1180</v>
      </c>
      <c r="E115" s="14">
        <v>8</v>
      </c>
      <c r="F115" s="14">
        <v>8</v>
      </c>
      <c r="G115" s="15">
        <f t="shared" si="2"/>
        <v>147.5</v>
      </c>
    </row>
    <row r="116" spans="1:7" ht="20.149999999999999" customHeight="1" x14ac:dyDescent="0.35">
      <c r="A116" s="2">
        <f t="shared" si="3"/>
        <v>104</v>
      </c>
      <c r="B116" s="14">
        <v>104</v>
      </c>
      <c r="C116" s="12" t="s">
        <v>290</v>
      </c>
      <c r="D116" s="14">
        <v>1180</v>
      </c>
      <c r="E116" s="14">
        <v>7</v>
      </c>
      <c r="F116" s="14">
        <v>7</v>
      </c>
      <c r="G116" s="15">
        <f t="shared" si="2"/>
        <v>168.57142857142858</v>
      </c>
    </row>
    <row r="117" spans="1:7" ht="20.149999999999999" customHeight="1" x14ac:dyDescent="0.35">
      <c r="A117" s="2">
        <f t="shared" si="3"/>
        <v>105</v>
      </c>
      <c r="B117" s="14">
        <v>105</v>
      </c>
      <c r="C117" s="12" t="s">
        <v>291</v>
      </c>
      <c r="D117" s="14">
        <v>1140</v>
      </c>
      <c r="E117" s="14">
        <v>7</v>
      </c>
      <c r="F117" s="14">
        <v>7</v>
      </c>
      <c r="G117" s="15">
        <f t="shared" si="2"/>
        <v>162.85714285714286</v>
      </c>
    </row>
    <row r="118" spans="1:7" ht="20.149999999999999" customHeight="1" x14ac:dyDescent="0.35">
      <c r="A118" s="2">
        <f t="shared" si="3"/>
        <v>106</v>
      </c>
      <c r="B118" s="14">
        <v>106</v>
      </c>
      <c r="C118" s="12" t="s">
        <v>292</v>
      </c>
      <c r="D118" s="14">
        <v>1130</v>
      </c>
      <c r="E118" s="14">
        <v>6</v>
      </c>
      <c r="F118" s="14">
        <v>6</v>
      </c>
      <c r="G118" s="15">
        <f t="shared" si="2"/>
        <v>188.33333333333334</v>
      </c>
    </row>
    <row r="119" spans="1:7" ht="20.149999999999999" customHeight="1" x14ac:dyDescent="0.35">
      <c r="A119" s="2">
        <f t="shared" si="3"/>
        <v>107</v>
      </c>
      <c r="B119" s="14">
        <v>107</v>
      </c>
      <c r="C119" s="12" t="s">
        <v>293</v>
      </c>
      <c r="D119" s="14">
        <v>1100</v>
      </c>
      <c r="E119" s="14">
        <v>9</v>
      </c>
      <c r="F119" s="14">
        <v>9</v>
      </c>
      <c r="G119" s="15">
        <f t="shared" si="2"/>
        <v>122.22222222222223</v>
      </c>
    </row>
    <row r="120" spans="1:7" ht="20.149999999999999" customHeight="1" x14ac:dyDescent="0.35">
      <c r="A120" s="2">
        <f t="shared" si="3"/>
        <v>108</v>
      </c>
      <c r="B120" s="14">
        <v>108</v>
      </c>
      <c r="C120" s="12" t="s">
        <v>56</v>
      </c>
      <c r="D120" s="14">
        <v>930</v>
      </c>
      <c r="E120" s="14">
        <v>6</v>
      </c>
      <c r="F120" s="14">
        <v>6</v>
      </c>
      <c r="G120" s="15">
        <f t="shared" si="2"/>
        <v>155</v>
      </c>
    </row>
    <row r="121" spans="1:7" ht="20.149999999999999" customHeight="1" x14ac:dyDescent="0.35">
      <c r="A121" s="2">
        <f t="shared" si="3"/>
        <v>109</v>
      </c>
      <c r="B121" s="14">
        <v>109</v>
      </c>
      <c r="C121" s="12" t="s">
        <v>294</v>
      </c>
      <c r="D121" s="14">
        <v>920</v>
      </c>
      <c r="E121" s="14">
        <v>5</v>
      </c>
      <c r="F121" s="14">
        <v>5</v>
      </c>
      <c r="G121" s="15">
        <f t="shared" si="2"/>
        <v>184</v>
      </c>
    </row>
    <row r="122" spans="1:7" ht="20.149999999999999" customHeight="1" x14ac:dyDescent="0.35">
      <c r="A122" s="2">
        <f t="shared" si="3"/>
        <v>110</v>
      </c>
      <c r="B122" s="14">
        <v>110</v>
      </c>
      <c r="C122" s="12" t="s">
        <v>108</v>
      </c>
      <c r="D122" s="14">
        <v>840</v>
      </c>
      <c r="E122" s="14">
        <v>5</v>
      </c>
      <c r="F122" s="14">
        <v>5</v>
      </c>
      <c r="G122" s="15">
        <f t="shared" si="2"/>
        <v>168</v>
      </c>
    </row>
    <row r="123" spans="1:7" ht="20.149999999999999" customHeight="1" x14ac:dyDescent="0.35">
      <c r="A123" s="2">
        <f t="shared" si="3"/>
        <v>111</v>
      </c>
      <c r="B123" s="14">
        <v>111</v>
      </c>
      <c r="C123" s="12" t="s">
        <v>295</v>
      </c>
      <c r="D123" s="14">
        <v>810</v>
      </c>
      <c r="E123" s="14">
        <v>6</v>
      </c>
      <c r="F123" s="14">
        <v>6</v>
      </c>
      <c r="G123" s="15">
        <f t="shared" si="2"/>
        <v>135</v>
      </c>
    </row>
    <row r="124" spans="1:7" ht="20.149999999999999" customHeight="1" x14ac:dyDescent="0.35">
      <c r="A124" s="2">
        <f t="shared" si="3"/>
        <v>112</v>
      </c>
      <c r="B124" s="14">
        <v>112</v>
      </c>
      <c r="C124" s="12" t="s">
        <v>296</v>
      </c>
      <c r="D124" s="14">
        <v>760</v>
      </c>
      <c r="E124" s="14">
        <v>4</v>
      </c>
      <c r="F124" s="14">
        <v>4</v>
      </c>
      <c r="G124" s="15">
        <f t="shared" si="2"/>
        <v>190</v>
      </c>
    </row>
    <row r="125" spans="1:7" ht="20.149999999999999" customHeight="1" x14ac:dyDescent="0.35">
      <c r="A125" s="2">
        <f t="shared" si="3"/>
        <v>113</v>
      </c>
      <c r="B125" s="14">
        <v>113</v>
      </c>
      <c r="C125" s="12" t="s">
        <v>11</v>
      </c>
      <c r="D125" s="14">
        <v>540</v>
      </c>
      <c r="E125" s="14">
        <v>3</v>
      </c>
      <c r="F125" s="14">
        <v>3</v>
      </c>
      <c r="G125" s="15">
        <f t="shared" si="2"/>
        <v>180</v>
      </c>
    </row>
    <row r="126" spans="1:7" ht="20.149999999999999" customHeight="1" x14ac:dyDescent="0.35">
      <c r="A126" s="2">
        <f t="shared" si="3"/>
        <v>114</v>
      </c>
      <c r="B126" s="14">
        <v>114</v>
      </c>
      <c r="C126" s="12" t="s">
        <v>297</v>
      </c>
      <c r="D126" s="14">
        <v>360</v>
      </c>
      <c r="E126" s="14">
        <v>2</v>
      </c>
      <c r="F126" s="14">
        <v>2</v>
      </c>
      <c r="G126" s="15">
        <f t="shared" si="2"/>
        <v>180</v>
      </c>
    </row>
    <row r="127" spans="1:7" ht="20.149999999999999" customHeight="1" x14ac:dyDescent="0.35">
      <c r="A127" s="2">
        <f t="shared" si="3"/>
        <v>115</v>
      </c>
      <c r="B127" s="14">
        <v>115</v>
      </c>
      <c r="C127" s="12" t="s">
        <v>298</v>
      </c>
      <c r="D127" s="14">
        <v>360</v>
      </c>
      <c r="E127" s="14">
        <v>2</v>
      </c>
      <c r="F127" s="14">
        <v>2</v>
      </c>
      <c r="G127" s="15">
        <f t="shared" si="2"/>
        <v>180</v>
      </c>
    </row>
    <row r="128" spans="1:7" ht="20.149999999999999" customHeight="1" x14ac:dyDescent="0.35">
      <c r="A128" s="2">
        <f t="shared" si="3"/>
        <v>116</v>
      </c>
      <c r="B128" s="14">
        <v>116</v>
      </c>
      <c r="C128" s="12" t="s">
        <v>299</v>
      </c>
      <c r="D128" s="14">
        <v>220</v>
      </c>
      <c r="E128" s="14">
        <v>1</v>
      </c>
      <c r="F128" s="14">
        <v>1</v>
      </c>
      <c r="G128" s="15">
        <f t="shared" si="2"/>
        <v>220</v>
      </c>
    </row>
    <row r="129" spans="1:7" ht="20.149999999999999" customHeight="1" x14ac:dyDescent="0.35">
      <c r="A129" s="2">
        <f t="shared" si="3"/>
        <v>117</v>
      </c>
      <c r="B129" s="14">
        <v>117</v>
      </c>
      <c r="C129" s="12" t="s">
        <v>300</v>
      </c>
      <c r="D129" s="14">
        <v>180</v>
      </c>
      <c r="E129" s="14">
        <v>1</v>
      </c>
      <c r="F129" s="14">
        <v>1</v>
      </c>
      <c r="G129" s="15">
        <f t="shared" si="2"/>
        <v>180</v>
      </c>
    </row>
    <row r="130" spans="1:7" ht="20.149999999999999" customHeight="1" x14ac:dyDescent="0.35">
      <c r="A130" s="2">
        <f t="shared" si="3"/>
        <v>118</v>
      </c>
      <c r="B130" s="14">
        <v>118</v>
      </c>
      <c r="C130" s="12" t="s">
        <v>301</v>
      </c>
      <c r="D130" s="14">
        <v>180</v>
      </c>
      <c r="E130" s="14">
        <v>1</v>
      </c>
      <c r="F130" s="14">
        <v>1</v>
      </c>
      <c r="G130" s="15">
        <f t="shared" si="2"/>
        <v>180</v>
      </c>
    </row>
    <row r="131" spans="1:7" ht="20.149999999999999" customHeight="1" x14ac:dyDescent="0.35">
      <c r="A131" s="2">
        <f t="shared" si="3"/>
        <v>119</v>
      </c>
      <c r="B131" s="14">
        <v>119</v>
      </c>
      <c r="C131" s="12" t="s">
        <v>302</v>
      </c>
      <c r="D131" s="14">
        <v>180</v>
      </c>
      <c r="E131" s="14">
        <v>1</v>
      </c>
      <c r="F131" s="14">
        <v>1</v>
      </c>
      <c r="G131" s="15">
        <f t="shared" si="2"/>
        <v>180</v>
      </c>
    </row>
    <row r="132" spans="1:7" ht="20.149999999999999" customHeight="1" x14ac:dyDescent="0.35">
      <c r="A132" s="2">
        <f t="shared" si="3"/>
        <v>120</v>
      </c>
      <c r="B132" s="14">
        <v>120</v>
      </c>
      <c r="C132" s="12" t="s">
        <v>227</v>
      </c>
      <c r="D132" s="14">
        <v>60</v>
      </c>
      <c r="E132" s="14">
        <v>1</v>
      </c>
      <c r="F132" s="14">
        <v>1</v>
      </c>
      <c r="G132" s="15">
        <f t="shared" si="2"/>
        <v>60</v>
      </c>
    </row>
    <row r="133" spans="1:7" ht="20.149999999999999" customHeight="1" x14ac:dyDescent="0.35">
      <c r="A133" s="2">
        <f t="shared" si="3"/>
        <v>121</v>
      </c>
      <c r="B133" s="14">
        <v>121</v>
      </c>
      <c r="C133" s="12" t="s">
        <v>303</v>
      </c>
      <c r="D133" s="14">
        <v>0</v>
      </c>
      <c r="E133" s="14">
        <v>0</v>
      </c>
      <c r="F133" s="14">
        <v>0</v>
      </c>
      <c r="G133" s="15">
        <f t="shared" si="2"/>
        <v>0</v>
      </c>
    </row>
    <row r="134" spans="1:7" ht="20.149999999999999" customHeight="1" x14ac:dyDescent="0.35">
      <c r="A134" s="2">
        <f t="shared" si="3"/>
        <v>122</v>
      </c>
      <c r="B134" s="14">
        <v>122</v>
      </c>
      <c r="C134" s="12" t="s">
        <v>304</v>
      </c>
      <c r="D134" s="14">
        <v>0</v>
      </c>
      <c r="E134" s="14">
        <v>0</v>
      </c>
      <c r="F134" s="14">
        <v>0</v>
      </c>
      <c r="G134" s="15">
        <f t="shared" si="2"/>
        <v>0</v>
      </c>
    </row>
    <row r="135" spans="1:7" ht="20.149999999999999" customHeight="1" x14ac:dyDescent="0.35">
      <c r="A135" s="2">
        <f t="shared" si="3"/>
        <v>123</v>
      </c>
      <c r="B135" s="14">
        <v>123</v>
      </c>
      <c r="C135" s="12" t="s">
        <v>305</v>
      </c>
      <c r="D135" s="14">
        <v>0</v>
      </c>
      <c r="E135" s="14">
        <v>0</v>
      </c>
      <c r="F135" s="14">
        <v>0</v>
      </c>
      <c r="G135" s="15">
        <f t="shared" si="2"/>
        <v>0</v>
      </c>
    </row>
    <row r="136" spans="1:7" ht="20.149999999999999" customHeight="1" x14ac:dyDescent="0.35">
      <c r="A136" s="2">
        <f t="shared" si="3"/>
        <v>124</v>
      </c>
      <c r="B136" s="14">
        <v>124</v>
      </c>
      <c r="C136" s="12" t="s">
        <v>306</v>
      </c>
      <c r="D136" s="14">
        <v>0</v>
      </c>
      <c r="E136" s="14">
        <v>0</v>
      </c>
      <c r="F136" s="14">
        <v>0</v>
      </c>
      <c r="G136" s="15">
        <f t="shared" si="2"/>
        <v>0</v>
      </c>
    </row>
    <row r="137" spans="1:7" ht="20.149999999999999" customHeight="1" x14ac:dyDescent="0.35">
      <c r="A137" s="2">
        <f t="shared" si="3"/>
        <v>125</v>
      </c>
      <c r="B137" s="14">
        <v>125</v>
      </c>
      <c r="C137" s="12" t="s">
        <v>75</v>
      </c>
      <c r="D137" s="14">
        <v>0</v>
      </c>
      <c r="E137" s="14">
        <v>0</v>
      </c>
      <c r="F137" s="14">
        <v>0</v>
      </c>
      <c r="G137" s="15">
        <f t="shared" si="2"/>
        <v>0</v>
      </c>
    </row>
    <row r="138" spans="1:7" ht="20.149999999999999" customHeight="1" x14ac:dyDescent="0.35">
      <c r="A138" s="2">
        <f t="shared" si="3"/>
        <v>126</v>
      </c>
      <c r="B138" s="14">
        <v>126</v>
      </c>
      <c r="C138" s="12" t="s">
        <v>307</v>
      </c>
      <c r="D138" s="14">
        <v>0</v>
      </c>
      <c r="E138" s="14">
        <v>0</v>
      </c>
      <c r="F138" s="14">
        <v>0</v>
      </c>
      <c r="G138" s="15">
        <f t="shared" si="2"/>
        <v>0</v>
      </c>
    </row>
    <row r="139" spans="1:7" ht="20.149999999999999" customHeight="1" x14ac:dyDescent="0.35">
      <c r="A139" s="2">
        <f t="shared" si="3"/>
        <v>127</v>
      </c>
      <c r="B139" s="14">
        <v>127</v>
      </c>
      <c r="C139" s="12" t="s">
        <v>308</v>
      </c>
      <c r="D139" s="14">
        <v>0</v>
      </c>
      <c r="E139" s="14">
        <v>0</v>
      </c>
      <c r="F139" s="14">
        <v>0</v>
      </c>
      <c r="G139" s="15">
        <f t="shared" si="2"/>
        <v>0</v>
      </c>
    </row>
    <row r="140" spans="1:7" ht="20.149999999999999" customHeight="1" x14ac:dyDescent="0.35">
      <c r="A140" s="2">
        <f t="shared" si="3"/>
        <v>128</v>
      </c>
      <c r="B140" s="14">
        <v>128</v>
      </c>
      <c r="C140" s="12" t="s">
        <v>309</v>
      </c>
      <c r="D140" s="14">
        <v>0</v>
      </c>
      <c r="E140" s="14">
        <v>0</v>
      </c>
      <c r="F140" s="14">
        <v>0</v>
      </c>
      <c r="G140" s="15">
        <f t="shared" si="2"/>
        <v>0</v>
      </c>
    </row>
    <row r="141" spans="1:7" ht="20.149999999999999" customHeight="1" x14ac:dyDescent="0.35">
      <c r="A141" s="2">
        <f t="shared" si="3"/>
        <v>129</v>
      </c>
      <c r="B141" s="14">
        <v>129</v>
      </c>
      <c r="C141" s="12" t="s">
        <v>150</v>
      </c>
      <c r="D141" s="14">
        <v>0</v>
      </c>
      <c r="E141" s="14">
        <v>0</v>
      </c>
      <c r="F141" s="14">
        <v>0</v>
      </c>
      <c r="G141" s="15">
        <f t="shared" ref="G141:G149" si="4">IFERROR(D141/F141,0)</f>
        <v>0</v>
      </c>
    </row>
    <row r="142" spans="1:7" ht="20.149999999999999" customHeight="1" x14ac:dyDescent="0.35">
      <c r="A142" s="2">
        <f t="shared" ref="A142:A149" si="5">ROW(A130)</f>
        <v>130</v>
      </c>
      <c r="B142" s="14">
        <v>130</v>
      </c>
      <c r="C142" s="12" t="s">
        <v>96</v>
      </c>
      <c r="D142" s="14">
        <v>0</v>
      </c>
      <c r="E142" s="14">
        <v>0</v>
      </c>
      <c r="F142" s="14">
        <v>0</v>
      </c>
      <c r="G142" s="15">
        <f t="shared" si="4"/>
        <v>0</v>
      </c>
    </row>
    <row r="143" spans="1:7" ht="20.149999999999999" customHeight="1" x14ac:dyDescent="0.35">
      <c r="A143" s="2">
        <f t="shared" si="5"/>
        <v>131</v>
      </c>
      <c r="B143" s="14">
        <v>131</v>
      </c>
      <c r="C143" s="12" t="s">
        <v>310</v>
      </c>
      <c r="D143" s="14">
        <v>0</v>
      </c>
      <c r="E143" s="14">
        <v>0</v>
      </c>
      <c r="F143" s="14">
        <v>0</v>
      </c>
      <c r="G143" s="15">
        <f t="shared" si="4"/>
        <v>0</v>
      </c>
    </row>
    <row r="144" spans="1:7" ht="20.149999999999999" customHeight="1" x14ac:dyDescent="0.35">
      <c r="A144" s="2">
        <f t="shared" si="5"/>
        <v>132</v>
      </c>
      <c r="B144" s="14">
        <v>132</v>
      </c>
      <c r="C144" s="12" t="s">
        <v>311</v>
      </c>
      <c r="D144" s="14">
        <v>0</v>
      </c>
      <c r="E144" s="14">
        <v>0</v>
      </c>
      <c r="F144" s="14">
        <v>0</v>
      </c>
      <c r="G144" s="15">
        <f>IFERROR(D144/F144,0)</f>
        <v>0</v>
      </c>
    </row>
    <row r="145" spans="1:7" ht="20.149999999999999" customHeight="1" x14ac:dyDescent="0.35">
      <c r="A145" s="2">
        <f t="shared" si="5"/>
        <v>133</v>
      </c>
      <c r="B145" s="14">
        <v>133</v>
      </c>
      <c r="C145" s="12" t="s">
        <v>312</v>
      </c>
      <c r="D145" s="14">
        <v>0</v>
      </c>
      <c r="E145" s="14">
        <v>0</v>
      </c>
      <c r="F145" s="14">
        <v>0</v>
      </c>
      <c r="G145" s="15">
        <f>IFERROR(D145/F145,0)</f>
        <v>0</v>
      </c>
    </row>
    <row r="146" spans="1:7" ht="20.149999999999999" customHeight="1" x14ac:dyDescent="0.35">
      <c r="A146" s="2">
        <f t="shared" si="5"/>
        <v>134</v>
      </c>
      <c r="B146" s="14">
        <v>134</v>
      </c>
      <c r="C146" s="12" t="s">
        <v>313</v>
      </c>
      <c r="D146" s="14">
        <v>0</v>
      </c>
      <c r="E146" s="14">
        <v>0</v>
      </c>
      <c r="F146" s="14">
        <v>0</v>
      </c>
      <c r="G146" s="15">
        <f>IFERROR(D146/F146,0)</f>
        <v>0</v>
      </c>
    </row>
    <row r="147" spans="1:7" ht="20.149999999999999" customHeight="1" x14ac:dyDescent="0.35">
      <c r="A147" s="2">
        <f t="shared" si="5"/>
        <v>135</v>
      </c>
      <c r="B147" s="14">
        <v>135</v>
      </c>
      <c r="C147" s="12" t="s">
        <v>314</v>
      </c>
      <c r="D147" s="14">
        <v>0</v>
      </c>
      <c r="E147" s="14">
        <v>0</v>
      </c>
      <c r="F147" s="14">
        <v>0</v>
      </c>
      <c r="G147" s="15">
        <f>IFERROR(D147/F147,0)</f>
        <v>0</v>
      </c>
    </row>
    <row r="148" spans="1:7" ht="20.149999999999999" customHeight="1" x14ac:dyDescent="0.35">
      <c r="A148" s="2">
        <f t="shared" si="5"/>
        <v>136</v>
      </c>
      <c r="B148" s="14">
        <v>136</v>
      </c>
      <c r="C148" s="12" t="s">
        <v>315</v>
      </c>
      <c r="D148" s="14">
        <v>0</v>
      </c>
      <c r="E148" s="14">
        <v>0</v>
      </c>
      <c r="F148" s="14">
        <v>0</v>
      </c>
      <c r="G148" s="15">
        <f>IFERROR(D148/F148,0)</f>
        <v>0</v>
      </c>
    </row>
    <row r="149" spans="1:7" ht="20.149999999999999" customHeight="1" x14ac:dyDescent="0.35">
      <c r="A149" s="2">
        <f t="shared" si="5"/>
        <v>137</v>
      </c>
      <c r="B149" s="14">
        <v>137</v>
      </c>
      <c r="C149" s="12" t="s">
        <v>316</v>
      </c>
      <c r="D149" s="14">
        <v>0</v>
      </c>
      <c r="E149" s="14">
        <v>0</v>
      </c>
      <c r="F149" s="14">
        <v>0</v>
      </c>
      <c r="G149" s="15">
        <f t="shared" si="4"/>
        <v>0</v>
      </c>
    </row>
    <row r="150" spans="1:7" ht="20.149999999999999" customHeight="1" x14ac:dyDescent="0.35">
      <c r="B150" s="12" t="s">
        <v>131</v>
      </c>
      <c r="C150" s="12"/>
      <c r="D150" s="15">
        <f>SUBTOTAL(109,AllianceMobilization202608[Points
reached])</f>
        <v>271150</v>
      </c>
      <c r="E150" s="15">
        <f>SUBTOTAL(109,AllianceMobilization202608[Quests
started])</f>
        <v>1545</v>
      </c>
      <c r="F150" s="15">
        <f>SUBTOTAL(109,AllianceMobilization202608[Quests
completed])</f>
        <v>1545</v>
      </c>
      <c r="G150" s="16"/>
    </row>
    <row r="151" spans="1:7" ht="20.149999999999999" customHeight="1" x14ac:dyDescent="0.35">
      <c r="B151" s="5" t="s">
        <v>132</v>
      </c>
      <c r="C151" s="5"/>
      <c r="D151" s="6">
        <f>AVERAGE(D13:D149)</f>
        <v>1979.1970802919709</v>
      </c>
      <c r="E151" s="6">
        <f>AVERAGE(E13:E149)</f>
        <v>11.277372262773723</v>
      </c>
      <c r="F151" s="6">
        <f>AVERAGE(F13:F149)</f>
        <v>11.277372262773723</v>
      </c>
      <c r="G151" s="6">
        <f>AVERAGE(G13:G149)</f>
        <v>152.40135867054744</v>
      </c>
    </row>
  </sheetData>
  <mergeCells count="7">
    <mergeCell ref="B10:C10"/>
    <mergeCell ref="B3:C3"/>
    <mergeCell ref="B4:C4"/>
    <mergeCell ref="B5:C5"/>
    <mergeCell ref="B6:C6"/>
    <mergeCell ref="B7:C7"/>
    <mergeCell ref="B9:C9"/>
  </mergeCells>
  <conditionalFormatting sqref="D13:D149">
    <cfRule type="cellIs" dxfId="5" priority="1" operator="lessThan">
      <formula>$D$10</formula>
    </cfRule>
    <cfRule type="cellIs" dxfId="4" priority="2" operator="greaterThan">
      <formula>$D$10</formula>
    </cfRule>
    <cfRule type="cellIs" dxfId="3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scale="73" fitToHeight="0"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10A2-3DB6-4157-BD55-BF37206172D9}">
  <sheetPr>
    <pageSetUpPr fitToPage="1"/>
  </sheetPr>
  <dimension ref="A1:H148"/>
  <sheetViews>
    <sheetView zoomScaleNormal="100" workbookViewId="0"/>
  </sheetViews>
  <sheetFormatPr baseColWidth="10" defaultRowHeight="14.5" x14ac:dyDescent="0.35"/>
  <cols>
    <col min="1" max="1" width="6.7265625" customWidth="1"/>
    <col min="2" max="2" width="12.7265625" customWidth="1"/>
    <col min="3" max="3" width="32.7265625" customWidth="1"/>
    <col min="4" max="7" width="16.7265625" customWidth="1"/>
  </cols>
  <sheetData>
    <row r="1" spans="1:8" ht="24" customHeight="1" x14ac:dyDescent="0.35">
      <c r="B1" s="9" t="s">
        <v>352</v>
      </c>
      <c r="C1" s="10"/>
      <c r="D1" s="10"/>
    </row>
    <row r="2" spans="1:8" ht="20.149999999999999" customHeight="1" x14ac:dyDescent="0.35">
      <c r="B2" s="10"/>
      <c r="C2" s="10"/>
      <c r="D2" s="10"/>
    </row>
    <row r="3" spans="1:8" ht="20.149999999999999" customHeight="1" x14ac:dyDescent="0.35">
      <c r="B3" s="20" t="s">
        <v>236</v>
      </c>
      <c r="C3" s="20"/>
      <c r="D3" s="19">
        <v>3662</v>
      </c>
    </row>
    <row r="4" spans="1:8" ht="20.149999999999999" customHeight="1" x14ac:dyDescent="0.35">
      <c r="B4" s="20" t="s">
        <v>0</v>
      </c>
      <c r="C4" s="20"/>
      <c r="D4" s="10" t="s">
        <v>350</v>
      </c>
    </row>
    <row r="5" spans="1:8" ht="20.149999999999999" customHeight="1" x14ac:dyDescent="0.35">
      <c r="B5" s="20" t="s">
        <v>1</v>
      </c>
      <c r="C5" s="20"/>
      <c r="D5" s="10" t="s">
        <v>351</v>
      </c>
    </row>
    <row r="6" spans="1:8" ht="20.149999999999999" customHeight="1" x14ac:dyDescent="0.35">
      <c r="B6" s="20" t="s">
        <v>8</v>
      </c>
      <c r="C6" s="20"/>
      <c r="D6" s="11">
        <v>267440</v>
      </c>
    </row>
    <row r="7" spans="1:8" ht="20.149999999999999" customHeight="1" x14ac:dyDescent="0.35">
      <c r="B7" s="20" t="s">
        <v>6</v>
      </c>
      <c r="C7" s="20"/>
      <c r="D7" s="11" t="s">
        <v>136</v>
      </c>
      <c r="H7" s="19"/>
    </row>
    <row r="8" spans="1:8" ht="20.149999999999999" customHeight="1" x14ac:dyDescent="0.35">
      <c r="B8" s="3"/>
      <c r="C8" s="3" t="s">
        <v>210</v>
      </c>
      <c r="D8" s="11">
        <v>18</v>
      </c>
    </row>
    <row r="9" spans="1:8" ht="20.149999999999999" customHeight="1" x14ac:dyDescent="0.35">
      <c r="B9" s="20" t="s">
        <v>4</v>
      </c>
      <c r="C9" s="20"/>
      <c r="D9" s="10" t="s">
        <v>353</v>
      </c>
    </row>
    <row r="10" spans="1:8" ht="20.149999999999999" customHeight="1" x14ac:dyDescent="0.35">
      <c r="B10" s="20" t="s">
        <v>151</v>
      </c>
      <c r="C10" s="20"/>
      <c r="D10" s="11">
        <v>2000</v>
      </c>
    </row>
    <row r="11" spans="1:8" ht="20.149999999999999" customHeight="1" x14ac:dyDescent="0.35"/>
    <row r="12" spans="1:8" ht="40" customHeight="1" x14ac:dyDescent="0.35">
      <c r="A12" s="1"/>
      <c r="B12" s="4" t="s">
        <v>153</v>
      </c>
      <c r="C12" s="12" t="s">
        <v>9</v>
      </c>
      <c r="D12" s="13" t="s">
        <v>16</v>
      </c>
      <c r="E12" s="13" t="s">
        <v>317</v>
      </c>
      <c r="F12" s="13" t="s">
        <v>10</v>
      </c>
      <c r="G12" s="13" t="s">
        <v>133</v>
      </c>
    </row>
    <row r="13" spans="1:8" ht="20.149999999999999" customHeight="1" x14ac:dyDescent="0.35">
      <c r="A13" s="2">
        <f>ROW(A1)</f>
        <v>1</v>
      </c>
      <c r="B13" s="14">
        <v>1</v>
      </c>
      <c r="C13" s="12" t="s">
        <v>90</v>
      </c>
      <c r="D13" s="14">
        <v>5880</v>
      </c>
      <c r="E13" s="14">
        <v>27</v>
      </c>
      <c r="F13" s="14">
        <v>27</v>
      </c>
      <c r="G13" s="15">
        <f t="shared" ref="G13:G44" si="0">IFERROR(D13/F13,0)</f>
        <v>217.77777777777777</v>
      </c>
    </row>
    <row r="14" spans="1:8" ht="20.149999999999999" customHeight="1" x14ac:dyDescent="0.35">
      <c r="A14" s="2">
        <f t="shared" ref="A14:A77" si="1">ROW(A2)</f>
        <v>2</v>
      </c>
      <c r="B14" s="14">
        <v>2</v>
      </c>
      <c r="C14" s="12" t="s">
        <v>245</v>
      </c>
      <c r="D14" s="14">
        <v>4950</v>
      </c>
      <c r="E14" s="14">
        <v>28</v>
      </c>
      <c r="F14" s="14">
        <v>28</v>
      </c>
      <c r="G14" s="15">
        <f t="shared" si="0"/>
        <v>176.78571428571428</v>
      </c>
    </row>
    <row r="15" spans="1:8" ht="20.149999999999999" customHeight="1" x14ac:dyDescent="0.35">
      <c r="A15" s="2">
        <f t="shared" si="1"/>
        <v>3</v>
      </c>
      <c r="B15" s="14">
        <v>3</v>
      </c>
      <c r="C15" s="12" t="s">
        <v>192</v>
      </c>
      <c r="D15" s="14">
        <v>4740</v>
      </c>
      <c r="E15" s="14">
        <v>25</v>
      </c>
      <c r="F15" s="14">
        <v>25</v>
      </c>
      <c r="G15" s="15">
        <f t="shared" si="0"/>
        <v>189.6</v>
      </c>
    </row>
    <row r="16" spans="1:8" ht="20.149999999999999" customHeight="1" x14ac:dyDescent="0.35">
      <c r="A16" s="2">
        <f t="shared" si="1"/>
        <v>4</v>
      </c>
      <c r="B16" s="14">
        <v>4</v>
      </c>
      <c r="C16" s="12" t="s">
        <v>115</v>
      </c>
      <c r="D16" s="14">
        <v>4520</v>
      </c>
      <c r="E16" s="14">
        <v>25</v>
      </c>
      <c r="F16" s="14">
        <v>25</v>
      </c>
      <c r="G16" s="15">
        <f t="shared" si="0"/>
        <v>180.8</v>
      </c>
    </row>
    <row r="17" spans="1:7" ht="20.149999999999999" customHeight="1" x14ac:dyDescent="0.35">
      <c r="A17" s="2">
        <f t="shared" si="1"/>
        <v>5</v>
      </c>
      <c r="B17" s="14">
        <v>5</v>
      </c>
      <c r="C17" s="12" t="s">
        <v>354</v>
      </c>
      <c r="D17" s="14">
        <v>4300</v>
      </c>
      <c r="E17" s="14">
        <v>22</v>
      </c>
      <c r="F17" s="14">
        <v>22</v>
      </c>
      <c r="G17" s="15">
        <f t="shared" si="0"/>
        <v>195.45454545454547</v>
      </c>
    </row>
    <row r="18" spans="1:7" ht="20.149999999999999" customHeight="1" x14ac:dyDescent="0.35">
      <c r="A18" s="2">
        <f t="shared" si="1"/>
        <v>6</v>
      </c>
      <c r="B18" s="14">
        <v>6</v>
      </c>
      <c r="C18" s="12" t="s">
        <v>355</v>
      </c>
      <c r="D18" s="14">
        <v>4200</v>
      </c>
      <c r="E18" s="14">
        <v>20</v>
      </c>
      <c r="F18" s="14">
        <v>20</v>
      </c>
      <c r="G18" s="15">
        <f t="shared" si="0"/>
        <v>210</v>
      </c>
    </row>
    <row r="19" spans="1:7" ht="20.149999999999999" customHeight="1" x14ac:dyDescent="0.35">
      <c r="A19" s="2">
        <f t="shared" si="1"/>
        <v>7</v>
      </c>
      <c r="B19" s="14">
        <v>7</v>
      </c>
      <c r="C19" s="12" t="s">
        <v>346</v>
      </c>
      <c r="D19" s="14">
        <v>4020</v>
      </c>
      <c r="E19" s="14">
        <v>22</v>
      </c>
      <c r="F19" s="14">
        <v>22</v>
      </c>
      <c r="G19" s="15">
        <f t="shared" si="0"/>
        <v>182.72727272727272</v>
      </c>
    </row>
    <row r="20" spans="1:7" ht="20.149999999999999" customHeight="1" x14ac:dyDescent="0.35">
      <c r="A20" s="2">
        <f t="shared" si="1"/>
        <v>8</v>
      </c>
      <c r="B20" s="14">
        <v>8</v>
      </c>
      <c r="C20" s="12" t="s">
        <v>330</v>
      </c>
      <c r="D20" s="14">
        <v>3980</v>
      </c>
      <c r="E20" s="14">
        <v>21</v>
      </c>
      <c r="F20" s="14">
        <v>21</v>
      </c>
      <c r="G20" s="15">
        <f t="shared" si="0"/>
        <v>189.52380952380952</v>
      </c>
    </row>
    <row r="21" spans="1:7" ht="20.149999999999999" customHeight="1" x14ac:dyDescent="0.35">
      <c r="A21" s="2">
        <f t="shared" si="1"/>
        <v>9</v>
      </c>
      <c r="B21" s="14">
        <v>9</v>
      </c>
      <c r="C21" s="12" t="s">
        <v>249</v>
      </c>
      <c r="D21" s="14">
        <v>3780</v>
      </c>
      <c r="E21" s="14">
        <v>23</v>
      </c>
      <c r="F21" s="14">
        <v>23</v>
      </c>
      <c r="G21" s="15">
        <f t="shared" si="0"/>
        <v>164.34782608695653</v>
      </c>
    </row>
    <row r="22" spans="1:7" ht="20.149999999999999" customHeight="1" x14ac:dyDescent="0.35">
      <c r="A22" s="2">
        <f t="shared" si="1"/>
        <v>10</v>
      </c>
      <c r="B22" s="14">
        <v>10</v>
      </c>
      <c r="C22" s="12" t="s">
        <v>267</v>
      </c>
      <c r="D22" s="14">
        <v>3710</v>
      </c>
      <c r="E22" s="14">
        <v>19</v>
      </c>
      <c r="F22" s="14">
        <v>19</v>
      </c>
      <c r="G22" s="15">
        <f t="shared" si="0"/>
        <v>195.26315789473685</v>
      </c>
    </row>
    <row r="23" spans="1:7" ht="20.149999999999999" customHeight="1" x14ac:dyDescent="0.35">
      <c r="A23" s="2">
        <f t="shared" si="1"/>
        <v>11</v>
      </c>
      <c r="B23" s="14">
        <v>11</v>
      </c>
      <c r="C23" s="12" t="s">
        <v>379</v>
      </c>
      <c r="D23" s="14">
        <v>3650</v>
      </c>
      <c r="E23" s="14">
        <v>20</v>
      </c>
      <c r="F23" s="14">
        <v>20</v>
      </c>
      <c r="G23" s="15">
        <f t="shared" si="0"/>
        <v>182.5</v>
      </c>
    </row>
    <row r="24" spans="1:7" ht="20.149999999999999" customHeight="1" x14ac:dyDescent="0.35">
      <c r="A24" s="2">
        <f t="shared" si="1"/>
        <v>12</v>
      </c>
      <c r="B24" s="14">
        <v>12</v>
      </c>
      <c r="C24" s="12" t="s">
        <v>42</v>
      </c>
      <c r="D24" s="14">
        <v>3600</v>
      </c>
      <c r="E24" s="14">
        <v>22</v>
      </c>
      <c r="F24" s="14">
        <v>22</v>
      </c>
      <c r="G24" s="15">
        <f t="shared" si="0"/>
        <v>163.63636363636363</v>
      </c>
    </row>
    <row r="25" spans="1:7" ht="20.149999999999999" customHeight="1" x14ac:dyDescent="0.35">
      <c r="A25" s="2">
        <f t="shared" si="1"/>
        <v>13</v>
      </c>
      <c r="B25" s="14">
        <v>13</v>
      </c>
      <c r="C25" s="12" t="s">
        <v>373</v>
      </c>
      <c r="D25" s="14">
        <v>3600</v>
      </c>
      <c r="E25" s="14">
        <v>21</v>
      </c>
      <c r="F25" s="14">
        <v>21</v>
      </c>
      <c r="G25" s="15">
        <f t="shared" si="0"/>
        <v>171.42857142857142</v>
      </c>
    </row>
    <row r="26" spans="1:7" ht="20.149999999999999" customHeight="1" x14ac:dyDescent="0.35">
      <c r="A26" s="2">
        <f t="shared" si="1"/>
        <v>14</v>
      </c>
      <c r="B26" s="14">
        <v>14</v>
      </c>
      <c r="C26" s="12" t="s">
        <v>374</v>
      </c>
      <c r="D26" s="14">
        <v>3460</v>
      </c>
      <c r="E26" s="14">
        <v>18</v>
      </c>
      <c r="F26" s="14">
        <v>18</v>
      </c>
      <c r="G26" s="15">
        <f t="shared" si="0"/>
        <v>192.22222222222223</v>
      </c>
    </row>
    <row r="27" spans="1:7" ht="20.149999999999999" customHeight="1" x14ac:dyDescent="0.35">
      <c r="A27" s="2">
        <f t="shared" si="1"/>
        <v>15</v>
      </c>
      <c r="B27" s="14">
        <v>15</v>
      </c>
      <c r="C27" s="12" t="s">
        <v>19</v>
      </c>
      <c r="D27" s="14">
        <v>3420</v>
      </c>
      <c r="E27" s="14">
        <v>19</v>
      </c>
      <c r="F27" s="14">
        <v>19</v>
      </c>
      <c r="G27" s="15">
        <f t="shared" si="0"/>
        <v>180</v>
      </c>
    </row>
    <row r="28" spans="1:7" ht="20.149999999999999" customHeight="1" x14ac:dyDescent="0.35">
      <c r="A28" s="2">
        <f t="shared" si="1"/>
        <v>16</v>
      </c>
      <c r="B28" s="14">
        <v>16</v>
      </c>
      <c r="C28" s="12" t="s">
        <v>286</v>
      </c>
      <c r="D28" s="14">
        <v>3360</v>
      </c>
      <c r="E28" s="14">
        <v>19</v>
      </c>
      <c r="F28" s="14">
        <v>19</v>
      </c>
      <c r="G28" s="15">
        <f t="shared" si="0"/>
        <v>176.84210526315789</v>
      </c>
    </row>
    <row r="29" spans="1:7" ht="20.149999999999999" customHeight="1" x14ac:dyDescent="0.35">
      <c r="A29" s="2">
        <f t="shared" si="1"/>
        <v>17</v>
      </c>
      <c r="B29" s="14">
        <v>17</v>
      </c>
      <c r="C29" s="12" t="s">
        <v>169</v>
      </c>
      <c r="D29" s="14">
        <v>3320</v>
      </c>
      <c r="E29" s="14">
        <v>18</v>
      </c>
      <c r="F29" s="14">
        <v>18</v>
      </c>
      <c r="G29" s="15">
        <f t="shared" si="0"/>
        <v>184.44444444444446</v>
      </c>
    </row>
    <row r="30" spans="1:7" ht="20.149999999999999" customHeight="1" x14ac:dyDescent="0.35">
      <c r="A30" s="2">
        <f t="shared" si="1"/>
        <v>18</v>
      </c>
      <c r="B30" s="14">
        <v>18</v>
      </c>
      <c r="C30" s="12" t="s">
        <v>17</v>
      </c>
      <c r="D30" s="14">
        <v>3240</v>
      </c>
      <c r="E30" s="14">
        <v>15</v>
      </c>
      <c r="F30" s="14">
        <v>15</v>
      </c>
      <c r="G30" s="15">
        <f t="shared" si="0"/>
        <v>216</v>
      </c>
    </row>
    <row r="31" spans="1:7" ht="20.149999999999999" customHeight="1" x14ac:dyDescent="0.35">
      <c r="A31" s="2">
        <f t="shared" si="1"/>
        <v>19</v>
      </c>
      <c r="B31" s="14">
        <v>19</v>
      </c>
      <c r="C31" s="12" t="s">
        <v>13</v>
      </c>
      <c r="D31" s="14">
        <v>3220</v>
      </c>
      <c r="E31" s="14">
        <v>15</v>
      </c>
      <c r="F31" s="14">
        <v>15</v>
      </c>
      <c r="G31" s="15">
        <f t="shared" si="0"/>
        <v>214.66666666666666</v>
      </c>
    </row>
    <row r="32" spans="1:7" ht="20.149999999999999" customHeight="1" x14ac:dyDescent="0.35">
      <c r="A32" s="2">
        <f t="shared" si="1"/>
        <v>20</v>
      </c>
      <c r="B32" s="14">
        <v>20</v>
      </c>
      <c r="C32" s="12" t="s">
        <v>248</v>
      </c>
      <c r="D32" s="14">
        <v>3120</v>
      </c>
      <c r="E32" s="14">
        <v>16</v>
      </c>
      <c r="F32" s="14">
        <v>16</v>
      </c>
      <c r="G32" s="15">
        <f t="shared" si="0"/>
        <v>195</v>
      </c>
    </row>
    <row r="33" spans="1:7" ht="20.149999999999999" customHeight="1" x14ac:dyDescent="0.35">
      <c r="A33" s="2">
        <f t="shared" si="1"/>
        <v>21</v>
      </c>
      <c r="B33" s="14">
        <v>21</v>
      </c>
      <c r="C33" s="12" t="s">
        <v>281</v>
      </c>
      <c r="D33" s="14">
        <v>3060</v>
      </c>
      <c r="E33" s="14">
        <v>18</v>
      </c>
      <c r="F33" s="14">
        <v>18</v>
      </c>
      <c r="G33" s="15">
        <f t="shared" si="0"/>
        <v>170</v>
      </c>
    </row>
    <row r="34" spans="1:7" ht="20.149999999999999" customHeight="1" x14ac:dyDescent="0.35">
      <c r="A34" s="2">
        <f t="shared" si="1"/>
        <v>22</v>
      </c>
      <c r="B34" s="14">
        <v>22</v>
      </c>
      <c r="C34" s="12" t="s">
        <v>117</v>
      </c>
      <c r="D34" s="14">
        <v>3040</v>
      </c>
      <c r="E34" s="14">
        <v>18</v>
      </c>
      <c r="F34" s="14">
        <v>18</v>
      </c>
      <c r="G34" s="15">
        <f t="shared" si="0"/>
        <v>168.88888888888889</v>
      </c>
    </row>
    <row r="35" spans="1:7" ht="20.149999999999999" customHeight="1" x14ac:dyDescent="0.35">
      <c r="A35" s="2">
        <f t="shared" si="1"/>
        <v>23</v>
      </c>
      <c r="B35" s="14">
        <v>23</v>
      </c>
      <c r="C35" s="12" t="s">
        <v>113</v>
      </c>
      <c r="D35" s="14">
        <v>2940</v>
      </c>
      <c r="E35" s="14">
        <v>15</v>
      </c>
      <c r="F35" s="14">
        <v>15</v>
      </c>
      <c r="G35" s="15">
        <f t="shared" si="0"/>
        <v>196</v>
      </c>
    </row>
    <row r="36" spans="1:7" ht="20.149999999999999" customHeight="1" x14ac:dyDescent="0.35">
      <c r="A36" s="2">
        <f t="shared" si="1"/>
        <v>24</v>
      </c>
      <c r="B36" s="14">
        <v>24</v>
      </c>
      <c r="C36" s="12" t="s">
        <v>23</v>
      </c>
      <c r="D36" s="14">
        <v>2900</v>
      </c>
      <c r="E36" s="14">
        <v>15</v>
      </c>
      <c r="F36" s="14">
        <v>15</v>
      </c>
      <c r="G36" s="15">
        <f t="shared" si="0"/>
        <v>193.33333333333334</v>
      </c>
    </row>
    <row r="37" spans="1:7" ht="20.149999999999999" customHeight="1" x14ac:dyDescent="0.35">
      <c r="A37" s="2">
        <f t="shared" si="1"/>
        <v>25</v>
      </c>
      <c r="B37" s="14">
        <v>25</v>
      </c>
      <c r="C37" s="12" t="s">
        <v>175</v>
      </c>
      <c r="D37" s="14">
        <v>2860</v>
      </c>
      <c r="E37" s="14">
        <v>15</v>
      </c>
      <c r="F37" s="14">
        <v>15</v>
      </c>
      <c r="G37" s="15">
        <f t="shared" si="0"/>
        <v>190.66666666666666</v>
      </c>
    </row>
    <row r="38" spans="1:7" ht="20.149999999999999" customHeight="1" x14ac:dyDescent="0.35">
      <c r="A38" s="2">
        <f t="shared" si="1"/>
        <v>26</v>
      </c>
      <c r="B38" s="14">
        <v>26</v>
      </c>
      <c r="C38" s="12" t="s">
        <v>161</v>
      </c>
      <c r="D38" s="14">
        <v>2810</v>
      </c>
      <c r="E38" s="14">
        <v>19</v>
      </c>
      <c r="F38" s="14">
        <v>19</v>
      </c>
      <c r="G38" s="15">
        <f t="shared" si="0"/>
        <v>147.89473684210526</v>
      </c>
    </row>
    <row r="39" spans="1:7" ht="20.149999999999999" customHeight="1" x14ac:dyDescent="0.35">
      <c r="A39" s="2">
        <f t="shared" si="1"/>
        <v>27</v>
      </c>
      <c r="B39" s="14">
        <v>27</v>
      </c>
      <c r="C39" s="12" t="s">
        <v>77</v>
      </c>
      <c r="D39" s="14">
        <v>2800</v>
      </c>
      <c r="E39" s="14">
        <v>15</v>
      </c>
      <c r="F39" s="14">
        <v>15</v>
      </c>
      <c r="G39" s="15">
        <f t="shared" si="0"/>
        <v>186.66666666666666</v>
      </c>
    </row>
    <row r="40" spans="1:7" ht="20.149999999999999" customHeight="1" x14ac:dyDescent="0.35">
      <c r="A40" s="2">
        <f t="shared" si="1"/>
        <v>28</v>
      </c>
      <c r="B40" s="14">
        <v>28</v>
      </c>
      <c r="C40" s="12" t="s">
        <v>322</v>
      </c>
      <c r="D40" s="14">
        <v>2720</v>
      </c>
      <c r="E40" s="14">
        <v>15</v>
      </c>
      <c r="F40" s="14">
        <v>15</v>
      </c>
      <c r="G40" s="15">
        <f t="shared" si="0"/>
        <v>181.33333333333334</v>
      </c>
    </row>
    <row r="41" spans="1:7" ht="20.149999999999999" customHeight="1" x14ac:dyDescent="0.35">
      <c r="A41" s="2">
        <f t="shared" si="1"/>
        <v>29</v>
      </c>
      <c r="B41" s="14">
        <v>29</v>
      </c>
      <c r="C41" s="12" t="s">
        <v>107</v>
      </c>
      <c r="D41" s="14">
        <v>2680</v>
      </c>
      <c r="E41" s="14">
        <v>14</v>
      </c>
      <c r="F41" s="14">
        <v>14</v>
      </c>
      <c r="G41" s="15">
        <f t="shared" si="0"/>
        <v>191.42857142857142</v>
      </c>
    </row>
    <row r="42" spans="1:7" ht="20.149999999999999" customHeight="1" x14ac:dyDescent="0.35">
      <c r="A42" s="2">
        <f t="shared" si="1"/>
        <v>30</v>
      </c>
      <c r="B42" s="14">
        <v>30</v>
      </c>
      <c r="C42" s="12" t="s">
        <v>302</v>
      </c>
      <c r="D42" s="14">
        <v>2660</v>
      </c>
      <c r="E42" s="14">
        <v>15</v>
      </c>
      <c r="F42" s="14">
        <v>15</v>
      </c>
      <c r="G42" s="15">
        <f t="shared" si="0"/>
        <v>177.33333333333334</v>
      </c>
    </row>
    <row r="43" spans="1:7" ht="20.149999999999999" customHeight="1" x14ac:dyDescent="0.35">
      <c r="A43" s="2">
        <f t="shared" si="1"/>
        <v>31</v>
      </c>
      <c r="B43" s="14">
        <v>31</v>
      </c>
      <c r="C43" s="12" t="s">
        <v>54</v>
      </c>
      <c r="D43" s="14">
        <v>2650</v>
      </c>
      <c r="E43" s="14">
        <v>15</v>
      </c>
      <c r="F43" s="14">
        <v>15</v>
      </c>
      <c r="G43" s="15">
        <f t="shared" si="0"/>
        <v>176.66666666666666</v>
      </c>
    </row>
    <row r="44" spans="1:7" ht="20.149999999999999" customHeight="1" x14ac:dyDescent="0.35">
      <c r="A44" s="2">
        <f t="shared" si="1"/>
        <v>32</v>
      </c>
      <c r="B44" s="14">
        <v>32</v>
      </c>
      <c r="C44" s="12" t="s">
        <v>325</v>
      </c>
      <c r="D44" s="14">
        <v>2640</v>
      </c>
      <c r="E44" s="14">
        <v>12</v>
      </c>
      <c r="F44" s="14">
        <v>12</v>
      </c>
      <c r="G44" s="15">
        <f t="shared" si="0"/>
        <v>220</v>
      </c>
    </row>
    <row r="45" spans="1:7" ht="20.149999999999999" customHeight="1" x14ac:dyDescent="0.35">
      <c r="A45" s="2">
        <f t="shared" si="1"/>
        <v>33</v>
      </c>
      <c r="B45" s="14">
        <v>33</v>
      </c>
      <c r="C45" s="12" t="s">
        <v>180</v>
      </c>
      <c r="D45" s="14">
        <v>2610</v>
      </c>
      <c r="E45" s="14">
        <v>16</v>
      </c>
      <c r="F45" s="14">
        <v>16</v>
      </c>
      <c r="G45" s="15">
        <f t="shared" ref="G45:G76" si="2">IFERROR(D45/F45,0)</f>
        <v>163.125</v>
      </c>
    </row>
    <row r="46" spans="1:7" ht="20.149999999999999" customHeight="1" x14ac:dyDescent="0.35">
      <c r="A46" s="2">
        <f t="shared" si="1"/>
        <v>34</v>
      </c>
      <c r="B46" s="14">
        <v>34</v>
      </c>
      <c r="C46" s="12" t="s">
        <v>364</v>
      </c>
      <c r="D46" s="14">
        <v>2600</v>
      </c>
      <c r="E46" s="14">
        <v>17</v>
      </c>
      <c r="F46" s="14">
        <v>17</v>
      </c>
      <c r="G46" s="15">
        <f t="shared" si="2"/>
        <v>152.94117647058823</v>
      </c>
    </row>
    <row r="47" spans="1:7" ht="20.149999999999999" customHeight="1" x14ac:dyDescent="0.35">
      <c r="A47" s="2">
        <f t="shared" si="1"/>
        <v>35</v>
      </c>
      <c r="B47" s="14">
        <v>35</v>
      </c>
      <c r="C47" s="12" t="s">
        <v>64</v>
      </c>
      <c r="D47" s="14">
        <v>2570</v>
      </c>
      <c r="E47" s="14">
        <v>15</v>
      </c>
      <c r="F47" s="14">
        <v>15</v>
      </c>
      <c r="G47" s="15">
        <f t="shared" si="2"/>
        <v>171.33333333333334</v>
      </c>
    </row>
    <row r="48" spans="1:7" ht="20.149999999999999" customHeight="1" x14ac:dyDescent="0.35">
      <c r="A48" s="2">
        <f t="shared" si="1"/>
        <v>36</v>
      </c>
      <c r="B48" s="14">
        <v>36</v>
      </c>
      <c r="C48" s="12" t="s">
        <v>256</v>
      </c>
      <c r="D48" s="14">
        <v>2550</v>
      </c>
      <c r="E48" s="14">
        <v>15</v>
      </c>
      <c r="F48" s="14">
        <v>15</v>
      </c>
      <c r="G48" s="15">
        <f t="shared" si="2"/>
        <v>170</v>
      </c>
    </row>
    <row r="49" spans="1:7" ht="20.149999999999999" customHeight="1" x14ac:dyDescent="0.35">
      <c r="A49" s="2">
        <f t="shared" si="1"/>
        <v>37</v>
      </c>
      <c r="B49" s="14">
        <v>37</v>
      </c>
      <c r="C49" s="12" t="s">
        <v>44</v>
      </c>
      <c r="D49" s="14">
        <v>2550</v>
      </c>
      <c r="E49" s="14">
        <v>12</v>
      </c>
      <c r="F49" s="14">
        <v>12</v>
      </c>
      <c r="G49" s="15">
        <f t="shared" si="2"/>
        <v>212.5</v>
      </c>
    </row>
    <row r="50" spans="1:7" ht="20.149999999999999" customHeight="1" x14ac:dyDescent="0.35">
      <c r="A50" s="2">
        <f t="shared" si="1"/>
        <v>38</v>
      </c>
      <c r="B50" s="14">
        <v>38</v>
      </c>
      <c r="C50" s="12" t="s">
        <v>258</v>
      </c>
      <c r="D50" s="14">
        <v>2540</v>
      </c>
      <c r="E50" s="14">
        <v>16</v>
      </c>
      <c r="F50" s="14">
        <v>16</v>
      </c>
      <c r="G50" s="15">
        <f t="shared" si="2"/>
        <v>158.75</v>
      </c>
    </row>
    <row r="51" spans="1:7" ht="20.149999999999999" customHeight="1" x14ac:dyDescent="0.35">
      <c r="A51" s="2">
        <f t="shared" si="1"/>
        <v>39</v>
      </c>
      <c r="B51" s="14">
        <v>39</v>
      </c>
      <c r="C51" s="12" t="s">
        <v>34</v>
      </c>
      <c r="D51" s="14">
        <v>2520</v>
      </c>
      <c r="E51" s="14">
        <v>16</v>
      </c>
      <c r="F51" s="14">
        <v>16</v>
      </c>
      <c r="G51" s="15">
        <f t="shared" si="2"/>
        <v>157.5</v>
      </c>
    </row>
    <row r="52" spans="1:7" ht="20.149999999999999" customHeight="1" x14ac:dyDescent="0.35">
      <c r="A52" s="2">
        <f t="shared" si="1"/>
        <v>40</v>
      </c>
      <c r="B52" s="14">
        <v>40</v>
      </c>
      <c r="C52" s="12" t="s">
        <v>205</v>
      </c>
      <c r="D52" s="14">
        <v>2490</v>
      </c>
      <c r="E52" s="14">
        <v>14</v>
      </c>
      <c r="F52" s="14">
        <v>14</v>
      </c>
      <c r="G52" s="15">
        <f t="shared" si="2"/>
        <v>177.85714285714286</v>
      </c>
    </row>
    <row r="53" spans="1:7" ht="20.149999999999999" customHeight="1" x14ac:dyDescent="0.35">
      <c r="A53" s="2">
        <f t="shared" si="1"/>
        <v>41</v>
      </c>
      <c r="B53" s="14">
        <v>41</v>
      </c>
      <c r="C53" s="12" t="s">
        <v>260</v>
      </c>
      <c r="D53" s="14">
        <v>2460</v>
      </c>
      <c r="E53" s="14">
        <v>15</v>
      </c>
      <c r="F53" s="14">
        <v>15</v>
      </c>
      <c r="G53" s="15">
        <f t="shared" si="2"/>
        <v>164</v>
      </c>
    </row>
    <row r="54" spans="1:7" ht="20.149999999999999" customHeight="1" x14ac:dyDescent="0.35">
      <c r="A54" s="2">
        <f t="shared" si="1"/>
        <v>42</v>
      </c>
      <c r="B54" s="14">
        <v>42</v>
      </c>
      <c r="C54" s="12" t="s">
        <v>321</v>
      </c>
      <c r="D54" s="14">
        <v>2460</v>
      </c>
      <c r="E54" s="14">
        <v>12</v>
      </c>
      <c r="F54" s="14">
        <v>12</v>
      </c>
      <c r="G54" s="15">
        <f t="shared" si="2"/>
        <v>205</v>
      </c>
    </row>
    <row r="55" spans="1:7" ht="20.149999999999999" customHeight="1" x14ac:dyDescent="0.35">
      <c r="A55" s="2">
        <f t="shared" si="1"/>
        <v>43</v>
      </c>
      <c r="B55" s="14">
        <v>43</v>
      </c>
      <c r="C55" s="12" t="s">
        <v>140</v>
      </c>
      <c r="D55" s="14">
        <v>2430</v>
      </c>
      <c r="E55" s="14">
        <v>15</v>
      </c>
      <c r="F55" s="14">
        <v>15</v>
      </c>
      <c r="G55" s="15">
        <f t="shared" si="2"/>
        <v>162</v>
      </c>
    </row>
    <row r="56" spans="1:7" ht="20.149999999999999" customHeight="1" x14ac:dyDescent="0.35">
      <c r="A56" s="2">
        <f t="shared" si="1"/>
        <v>44</v>
      </c>
      <c r="B56" s="14">
        <v>44</v>
      </c>
      <c r="C56" s="12" t="s">
        <v>344</v>
      </c>
      <c r="D56" s="14">
        <v>2420</v>
      </c>
      <c r="E56" s="14">
        <v>14</v>
      </c>
      <c r="F56" s="14">
        <v>14</v>
      </c>
      <c r="G56" s="15">
        <f t="shared" si="2"/>
        <v>172.85714285714286</v>
      </c>
    </row>
    <row r="57" spans="1:7" ht="20.149999999999999" customHeight="1" x14ac:dyDescent="0.35">
      <c r="A57" s="2">
        <f t="shared" si="1"/>
        <v>45</v>
      </c>
      <c r="B57" s="14">
        <v>45</v>
      </c>
      <c r="C57" s="12" t="s">
        <v>14</v>
      </c>
      <c r="D57" s="14">
        <v>2420</v>
      </c>
      <c r="E57" s="14">
        <v>13</v>
      </c>
      <c r="F57" s="14">
        <v>13</v>
      </c>
      <c r="G57" s="15">
        <f t="shared" si="2"/>
        <v>186.15384615384616</v>
      </c>
    </row>
    <row r="58" spans="1:7" ht="20.149999999999999" customHeight="1" x14ac:dyDescent="0.35">
      <c r="A58" s="2">
        <f t="shared" si="1"/>
        <v>46</v>
      </c>
      <c r="B58" s="14">
        <v>46</v>
      </c>
      <c r="C58" s="12" t="s">
        <v>37</v>
      </c>
      <c r="D58" s="14">
        <v>2410</v>
      </c>
      <c r="E58" s="14">
        <v>13</v>
      </c>
      <c r="F58" s="14">
        <v>13</v>
      </c>
      <c r="G58" s="15">
        <f t="shared" si="2"/>
        <v>185.38461538461539</v>
      </c>
    </row>
    <row r="59" spans="1:7" ht="20.149999999999999" customHeight="1" x14ac:dyDescent="0.35">
      <c r="A59" s="2">
        <f t="shared" si="1"/>
        <v>47</v>
      </c>
      <c r="B59" s="14">
        <v>47</v>
      </c>
      <c r="C59" s="12" t="s">
        <v>356</v>
      </c>
      <c r="D59" s="14">
        <v>2400</v>
      </c>
      <c r="E59" s="14">
        <v>15</v>
      </c>
      <c r="F59" s="14">
        <v>15</v>
      </c>
      <c r="G59" s="15">
        <f t="shared" si="2"/>
        <v>160</v>
      </c>
    </row>
    <row r="60" spans="1:7" ht="20.149999999999999" customHeight="1" x14ac:dyDescent="0.35">
      <c r="A60" s="2">
        <f t="shared" si="1"/>
        <v>48</v>
      </c>
      <c r="B60" s="14">
        <v>48</v>
      </c>
      <c r="C60" s="12" t="s">
        <v>26</v>
      </c>
      <c r="D60" s="14">
        <v>2400</v>
      </c>
      <c r="E60" s="14">
        <v>15</v>
      </c>
      <c r="F60" s="14">
        <v>15</v>
      </c>
      <c r="G60" s="15">
        <f t="shared" si="2"/>
        <v>160</v>
      </c>
    </row>
    <row r="61" spans="1:7" ht="20.149999999999999" customHeight="1" x14ac:dyDescent="0.35">
      <c r="A61" s="2">
        <f t="shared" si="1"/>
        <v>49</v>
      </c>
      <c r="B61" s="14">
        <v>49</v>
      </c>
      <c r="C61" s="12" t="s">
        <v>170</v>
      </c>
      <c r="D61" s="14">
        <v>2360</v>
      </c>
      <c r="E61" s="14">
        <v>16</v>
      </c>
      <c r="F61" s="14">
        <v>16</v>
      </c>
      <c r="G61" s="15">
        <f t="shared" si="2"/>
        <v>147.5</v>
      </c>
    </row>
    <row r="62" spans="1:7" ht="20.149999999999999" customHeight="1" x14ac:dyDescent="0.35">
      <c r="A62" s="2">
        <f t="shared" si="1"/>
        <v>50</v>
      </c>
      <c r="B62" s="14">
        <v>50</v>
      </c>
      <c r="C62" s="12" t="s">
        <v>168</v>
      </c>
      <c r="D62" s="14">
        <v>2360</v>
      </c>
      <c r="E62" s="14">
        <v>14</v>
      </c>
      <c r="F62" s="14">
        <v>14</v>
      </c>
      <c r="G62" s="15">
        <f t="shared" si="2"/>
        <v>168.57142857142858</v>
      </c>
    </row>
    <row r="63" spans="1:7" ht="20.149999999999999" customHeight="1" x14ac:dyDescent="0.35">
      <c r="A63" s="2">
        <f t="shared" si="1"/>
        <v>51</v>
      </c>
      <c r="B63" s="14">
        <v>51</v>
      </c>
      <c r="C63" s="12" t="s">
        <v>312</v>
      </c>
      <c r="D63" s="14">
        <v>2340</v>
      </c>
      <c r="E63" s="14">
        <v>12</v>
      </c>
      <c r="F63" s="14">
        <v>12</v>
      </c>
      <c r="G63" s="15">
        <f t="shared" si="2"/>
        <v>195</v>
      </c>
    </row>
    <row r="64" spans="1:7" ht="20.149999999999999" customHeight="1" x14ac:dyDescent="0.35">
      <c r="A64" s="2">
        <f t="shared" si="1"/>
        <v>52</v>
      </c>
      <c r="B64" s="14">
        <v>52</v>
      </c>
      <c r="C64" s="12" t="s">
        <v>363</v>
      </c>
      <c r="D64" s="14">
        <v>2330</v>
      </c>
      <c r="E64" s="14">
        <v>13</v>
      </c>
      <c r="F64" s="14">
        <v>13</v>
      </c>
      <c r="G64" s="15">
        <f t="shared" si="2"/>
        <v>179.23076923076923</v>
      </c>
    </row>
    <row r="65" spans="1:7" ht="20.149999999999999" customHeight="1" x14ac:dyDescent="0.35">
      <c r="A65" s="2">
        <f t="shared" si="1"/>
        <v>53</v>
      </c>
      <c r="B65" s="14">
        <v>53</v>
      </c>
      <c r="C65" s="12" t="s">
        <v>278</v>
      </c>
      <c r="D65" s="14">
        <v>2300</v>
      </c>
      <c r="E65" s="14">
        <v>15</v>
      </c>
      <c r="F65" s="14">
        <v>15</v>
      </c>
      <c r="G65" s="15">
        <f t="shared" si="2"/>
        <v>153.33333333333334</v>
      </c>
    </row>
    <row r="66" spans="1:7" ht="20.149999999999999" customHeight="1" x14ac:dyDescent="0.35">
      <c r="A66" s="2">
        <f t="shared" si="1"/>
        <v>54</v>
      </c>
      <c r="B66" s="14">
        <v>54</v>
      </c>
      <c r="C66" s="12" t="s">
        <v>109</v>
      </c>
      <c r="D66" s="14">
        <v>2290</v>
      </c>
      <c r="E66" s="14">
        <v>14</v>
      </c>
      <c r="F66" s="14">
        <v>14</v>
      </c>
      <c r="G66" s="15">
        <f t="shared" si="2"/>
        <v>163.57142857142858</v>
      </c>
    </row>
    <row r="67" spans="1:7" ht="20.149999999999999" customHeight="1" x14ac:dyDescent="0.35">
      <c r="A67" s="2">
        <f t="shared" si="1"/>
        <v>55</v>
      </c>
      <c r="B67" s="14">
        <v>55</v>
      </c>
      <c r="C67" s="12" t="s">
        <v>202</v>
      </c>
      <c r="D67" s="14">
        <v>2280</v>
      </c>
      <c r="E67" s="14">
        <v>12</v>
      </c>
      <c r="F67" s="14">
        <v>12</v>
      </c>
      <c r="G67" s="15">
        <f t="shared" si="2"/>
        <v>190</v>
      </c>
    </row>
    <row r="68" spans="1:7" ht="20.149999999999999" customHeight="1" x14ac:dyDescent="0.35">
      <c r="A68" s="2">
        <f t="shared" si="1"/>
        <v>56</v>
      </c>
      <c r="B68" s="14">
        <v>56</v>
      </c>
      <c r="C68" s="12" t="s">
        <v>145</v>
      </c>
      <c r="D68" s="14">
        <v>2220</v>
      </c>
      <c r="E68" s="14">
        <v>14</v>
      </c>
      <c r="F68" s="14">
        <v>14</v>
      </c>
      <c r="G68" s="15">
        <f t="shared" si="2"/>
        <v>158.57142857142858</v>
      </c>
    </row>
    <row r="69" spans="1:7" ht="20.149999999999999" customHeight="1" x14ac:dyDescent="0.35">
      <c r="A69" s="2">
        <f t="shared" si="1"/>
        <v>57</v>
      </c>
      <c r="B69" s="14">
        <v>57</v>
      </c>
      <c r="C69" s="12" t="s">
        <v>313</v>
      </c>
      <c r="D69" s="14">
        <v>2190</v>
      </c>
      <c r="E69" s="14">
        <v>13</v>
      </c>
      <c r="F69" s="14">
        <v>13</v>
      </c>
      <c r="G69" s="15">
        <f t="shared" si="2"/>
        <v>168.46153846153845</v>
      </c>
    </row>
    <row r="70" spans="1:7" ht="20.149999999999999" customHeight="1" x14ac:dyDescent="0.35">
      <c r="A70" s="2">
        <f t="shared" si="1"/>
        <v>58</v>
      </c>
      <c r="B70" s="14">
        <v>58</v>
      </c>
      <c r="C70" s="12" t="s">
        <v>327</v>
      </c>
      <c r="D70" s="14">
        <v>2150</v>
      </c>
      <c r="E70" s="14">
        <v>14</v>
      </c>
      <c r="F70" s="14">
        <v>14</v>
      </c>
      <c r="G70" s="15">
        <f t="shared" si="2"/>
        <v>153.57142857142858</v>
      </c>
    </row>
    <row r="71" spans="1:7" ht="20.149999999999999" customHeight="1" x14ac:dyDescent="0.35">
      <c r="A71" s="2">
        <f t="shared" si="1"/>
        <v>59</v>
      </c>
      <c r="B71" s="14">
        <v>59</v>
      </c>
      <c r="C71" s="12" t="s">
        <v>284</v>
      </c>
      <c r="D71" s="14">
        <v>2140</v>
      </c>
      <c r="E71" s="14">
        <v>16</v>
      </c>
      <c r="F71" s="14">
        <v>16</v>
      </c>
      <c r="G71" s="15">
        <f t="shared" si="2"/>
        <v>133.75</v>
      </c>
    </row>
    <row r="72" spans="1:7" ht="20.149999999999999" customHeight="1" x14ac:dyDescent="0.35">
      <c r="A72" s="2">
        <f t="shared" si="1"/>
        <v>60</v>
      </c>
      <c r="B72" s="14">
        <v>60</v>
      </c>
      <c r="C72" s="12" t="s">
        <v>174</v>
      </c>
      <c r="D72" s="14">
        <v>2140</v>
      </c>
      <c r="E72" s="14">
        <v>12</v>
      </c>
      <c r="F72" s="14">
        <v>12</v>
      </c>
      <c r="G72" s="15">
        <f t="shared" si="2"/>
        <v>178.33333333333334</v>
      </c>
    </row>
    <row r="73" spans="1:7" ht="20.149999999999999" customHeight="1" x14ac:dyDescent="0.35">
      <c r="A73" s="2">
        <f t="shared" si="1"/>
        <v>61</v>
      </c>
      <c r="B73" s="14">
        <v>61</v>
      </c>
      <c r="C73" s="12" t="s">
        <v>24</v>
      </c>
      <c r="D73" s="14">
        <v>2140</v>
      </c>
      <c r="E73" s="14">
        <v>11</v>
      </c>
      <c r="F73" s="14">
        <v>11</v>
      </c>
      <c r="G73" s="15">
        <f t="shared" si="2"/>
        <v>194.54545454545453</v>
      </c>
    </row>
    <row r="74" spans="1:7" ht="20.149999999999999" customHeight="1" x14ac:dyDescent="0.35">
      <c r="A74" s="2">
        <f t="shared" si="1"/>
        <v>62</v>
      </c>
      <c r="B74" s="14">
        <v>62</v>
      </c>
      <c r="C74" s="12" t="s">
        <v>118</v>
      </c>
      <c r="D74" s="14">
        <v>2140</v>
      </c>
      <c r="E74" s="14">
        <v>11</v>
      </c>
      <c r="F74" s="14">
        <v>11</v>
      </c>
      <c r="G74" s="15">
        <f t="shared" si="2"/>
        <v>194.54545454545453</v>
      </c>
    </row>
    <row r="75" spans="1:7" ht="20.149999999999999" customHeight="1" x14ac:dyDescent="0.35">
      <c r="A75" s="2">
        <f t="shared" si="1"/>
        <v>63</v>
      </c>
      <c r="B75" s="14">
        <v>63</v>
      </c>
      <c r="C75" s="12" t="s">
        <v>51</v>
      </c>
      <c r="D75" s="14">
        <v>2140</v>
      </c>
      <c r="E75" s="14">
        <v>10</v>
      </c>
      <c r="F75" s="14">
        <v>10</v>
      </c>
      <c r="G75" s="15">
        <f t="shared" si="2"/>
        <v>214</v>
      </c>
    </row>
    <row r="76" spans="1:7" ht="20.149999999999999" customHeight="1" x14ac:dyDescent="0.35">
      <c r="A76" s="2">
        <f t="shared" si="1"/>
        <v>64</v>
      </c>
      <c r="B76" s="14">
        <v>64</v>
      </c>
      <c r="C76" s="12" t="s">
        <v>289</v>
      </c>
      <c r="D76" s="14">
        <v>2130</v>
      </c>
      <c r="E76" s="14">
        <v>15</v>
      </c>
      <c r="F76" s="14">
        <v>15</v>
      </c>
      <c r="G76" s="15">
        <f t="shared" si="2"/>
        <v>142</v>
      </c>
    </row>
    <row r="77" spans="1:7" ht="20.149999999999999" customHeight="1" x14ac:dyDescent="0.35">
      <c r="A77" s="2">
        <f t="shared" si="1"/>
        <v>65</v>
      </c>
      <c r="B77" s="14">
        <v>65</v>
      </c>
      <c r="C77" s="12" t="s">
        <v>375</v>
      </c>
      <c r="D77" s="14">
        <v>2120</v>
      </c>
      <c r="E77" s="14">
        <v>12</v>
      </c>
      <c r="F77" s="14">
        <v>12</v>
      </c>
      <c r="G77" s="15">
        <f t="shared" ref="G77:G108" si="3">IFERROR(D77/F77,0)</f>
        <v>176.66666666666666</v>
      </c>
    </row>
    <row r="78" spans="1:7" ht="20.149999999999999" customHeight="1" x14ac:dyDescent="0.35">
      <c r="A78" s="2">
        <f t="shared" ref="A78:A141" si="4">ROW(A66)</f>
        <v>66</v>
      </c>
      <c r="B78" s="14">
        <v>66</v>
      </c>
      <c r="C78" s="12" t="s">
        <v>186</v>
      </c>
      <c r="D78" s="14">
        <v>2120</v>
      </c>
      <c r="E78" s="14">
        <v>12</v>
      </c>
      <c r="F78" s="14">
        <v>12</v>
      </c>
      <c r="G78" s="15">
        <f t="shared" si="3"/>
        <v>176.66666666666666</v>
      </c>
    </row>
    <row r="79" spans="1:7" ht="20.149999999999999" customHeight="1" x14ac:dyDescent="0.35">
      <c r="A79" s="2">
        <f t="shared" si="4"/>
        <v>67</v>
      </c>
      <c r="B79" s="14">
        <v>67</v>
      </c>
      <c r="C79" s="12" t="s">
        <v>251</v>
      </c>
      <c r="D79" s="14">
        <v>2100</v>
      </c>
      <c r="E79" s="14">
        <v>12</v>
      </c>
      <c r="F79" s="14">
        <v>12</v>
      </c>
      <c r="G79" s="15">
        <f t="shared" si="3"/>
        <v>175</v>
      </c>
    </row>
    <row r="80" spans="1:7" ht="20.149999999999999" customHeight="1" x14ac:dyDescent="0.35">
      <c r="A80" s="2">
        <f t="shared" si="4"/>
        <v>68</v>
      </c>
      <c r="B80" s="14">
        <v>68</v>
      </c>
      <c r="C80" s="12" t="s">
        <v>112</v>
      </c>
      <c r="D80" s="14">
        <v>2060</v>
      </c>
      <c r="E80" s="14">
        <v>13</v>
      </c>
      <c r="F80" s="14">
        <v>13</v>
      </c>
      <c r="G80" s="15">
        <f t="shared" si="3"/>
        <v>158.46153846153845</v>
      </c>
    </row>
    <row r="81" spans="1:7" ht="20.149999999999999" customHeight="1" x14ac:dyDescent="0.35">
      <c r="A81" s="2">
        <f t="shared" si="4"/>
        <v>69</v>
      </c>
      <c r="B81" s="14">
        <v>69</v>
      </c>
      <c r="C81" s="12" t="s">
        <v>21</v>
      </c>
      <c r="D81" s="14">
        <v>2060</v>
      </c>
      <c r="E81" s="14">
        <v>12</v>
      </c>
      <c r="F81" s="14">
        <v>12</v>
      </c>
      <c r="G81" s="15">
        <f t="shared" si="3"/>
        <v>171.66666666666666</v>
      </c>
    </row>
    <row r="82" spans="1:7" ht="20.149999999999999" customHeight="1" x14ac:dyDescent="0.35">
      <c r="A82" s="2">
        <f t="shared" si="4"/>
        <v>70</v>
      </c>
      <c r="B82" s="14">
        <v>70</v>
      </c>
      <c r="C82" s="12" t="s">
        <v>126</v>
      </c>
      <c r="D82" s="14">
        <v>2050</v>
      </c>
      <c r="E82" s="14">
        <v>13</v>
      </c>
      <c r="F82" s="14">
        <v>13</v>
      </c>
      <c r="G82" s="15">
        <f t="shared" si="3"/>
        <v>157.69230769230768</v>
      </c>
    </row>
    <row r="83" spans="1:7" ht="20.149999999999999" customHeight="1" x14ac:dyDescent="0.35">
      <c r="A83" s="2">
        <f t="shared" si="4"/>
        <v>71</v>
      </c>
      <c r="B83" s="14">
        <v>71</v>
      </c>
      <c r="C83" s="12" t="s">
        <v>111</v>
      </c>
      <c r="D83" s="14">
        <v>2050</v>
      </c>
      <c r="E83" s="14">
        <v>12</v>
      </c>
      <c r="F83" s="14">
        <v>12</v>
      </c>
      <c r="G83" s="15">
        <f t="shared" si="3"/>
        <v>170.83333333333334</v>
      </c>
    </row>
    <row r="84" spans="1:7" ht="20.149999999999999" customHeight="1" x14ac:dyDescent="0.35">
      <c r="A84" s="2">
        <f t="shared" si="4"/>
        <v>72</v>
      </c>
      <c r="B84" s="14">
        <v>72</v>
      </c>
      <c r="C84" s="12" t="s">
        <v>274</v>
      </c>
      <c r="D84" s="14">
        <v>2050</v>
      </c>
      <c r="E84" s="14">
        <v>12</v>
      </c>
      <c r="F84" s="14">
        <v>12</v>
      </c>
      <c r="G84" s="15">
        <f t="shared" si="3"/>
        <v>170.83333333333334</v>
      </c>
    </row>
    <row r="85" spans="1:7" ht="20.149999999999999" customHeight="1" x14ac:dyDescent="0.35">
      <c r="A85" s="2">
        <f t="shared" si="4"/>
        <v>73</v>
      </c>
      <c r="B85" s="14">
        <v>73</v>
      </c>
      <c r="C85" s="12" t="s">
        <v>273</v>
      </c>
      <c r="D85" s="14">
        <v>2040</v>
      </c>
      <c r="E85" s="14">
        <v>15</v>
      </c>
      <c r="F85" s="14">
        <v>15</v>
      </c>
      <c r="G85" s="15">
        <f t="shared" si="3"/>
        <v>136</v>
      </c>
    </row>
    <row r="86" spans="1:7" ht="20.149999999999999" customHeight="1" x14ac:dyDescent="0.35">
      <c r="A86" s="2">
        <f t="shared" si="4"/>
        <v>74</v>
      </c>
      <c r="B86" s="14">
        <v>74</v>
      </c>
      <c r="C86" s="12" t="s">
        <v>61</v>
      </c>
      <c r="D86" s="14">
        <v>2040</v>
      </c>
      <c r="E86" s="14">
        <v>13</v>
      </c>
      <c r="F86" s="14">
        <v>13</v>
      </c>
      <c r="G86" s="15">
        <f t="shared" si="3"/>
        <v>156.92307692307693</v>
      </c>
    </row>
    <row r="87" spans="1:7" ht="20.149999999999999" customHeight="1" x14ac:dyDescent="0.35">
      <c r="A87" s="2">
        <f t="shared" si="4"/>
        <v>75</v>
      </c>
      <c r="B87" s="14">
        <v>75</v>
      </c>
      <c r="C87" s="12" t="s">
        <v>283</v>
      </c>
      <c r="D87" s="14">
        <v>2040</v>
      </c>
      <c r="E87" s="14">
        <v>11</v>
      </c>
      <c r="F87" s="14">
        <v>11</v>
      </c>
      <c r="G87" s="15">
        <f t="shared" si="3"/>
        <v>185.45454545454547</v>
      </c>
    </row>
    <row r="88" spans="1:7" ht="20.149999999999999" customHeight="1" x14ac:dyDescent="0.35">
      <c r="A88" s="2">
        <f t="shared" si="4"/>
        <v>76</v>
      </c>
      <c r="B88" s="14">
        <v>76</v>
      </c>
      <c r="C88" s="12" t="s">
        <v>18</v>
      </c>
      <c r="D88" s="14">
        <v>2000</v>
      </c>
      <c r="E88" s="14">
        <v>15</v>
      </c>
      <c r="F88" s="14">
        <v>15</v>
      </c>
      <c r="G88" s="15">
        <f t="shared" si="3"/>
        <v>133.33333333333334</v>
      </c>
    </row>
    <row r="89" spans="1:7" ht="20.149999999999999" customHeight="1" x14ac:dyDescent="0.35">
      <c r="A89" s="2">
        <f t="shared" si="4"/>
        <v>77</v>
      </c>
      <c r="B89" s="14">
        <v>77</v>
      </c>
      <c r="C89" s="12" t="s">
        <v>282</v>
      </c>
      <c r="D89" s="14">
        <v>2000</v>
      </c>
      <c r="E89" s="14">
        <v>12</v>
      </c>
      <c r="F89" s="14">
        <v>12</v>
      </c>
      <c r="G89" s="15">
        <f t="shared" si="3"/>
        <v>166.66666666666666</v>
      </c>
    </row>
    <row r="90" spans="1:7" ht="20.149999999999999" customHeight="1" x14ac:dyDescent="0.35">
      <c r="A90" s="2">
        <f t="shared" si="4"/>
        <v>78</v>
      </c>
      <c r="B90" s="14">
        <v>78</v>
      </c>
      <c r="C90" s="12" t="s">
        <v>166</v>
      </c>
      <c r="D90" s="14">
        <v>2000</v>
      </c>
      <c r="E90" s="14">
        <v>10</v>
      </c>
      <c r="F90" s="14">
        <v>10</v>
      </c>
      <c r="G90" s="15">
        <f t="shared" si="3"/>
        <v>200</v>
      </c>
    </row>
    <row r="91" spans="1:7" ht="20.149999999999999" customHeight="1" x14ac:dyDescent="0.35">
      <c r="A91" s="2">
        <f t="shared" si="4"/>
        <v>79</v>
      </c>
      <c r="B91" s="14">
        <v>79</v>
      </c>
      <c r="C91" s="12" t="s">
        <v>250</v>
      </c>
      <c r="D91" s="14">
        <v>1960</v>
      </c>
      <c r="E91" s="14">
        <v>12</v>
      </c>
      <c r="F91" s="14">
        <v>12</v>
      </c>
      <c r="G91" s="15">
        <f t="shared" si="3"/>
        <v>163.33333333333334</v>
      </c>
    </row>
    <row r="92" spans="1:7" ht="20.149999999999999" customHeight="1" x14ac:dyDescent="0.35">
      <c r="A92" s="2">
        <f t="shared" si="4"/>
        <v>80</v>
      </c>
      <c r="B92" s="14">
        <v>80</v>
      </c>
      <c r="C92" s="12" t="s">
        <v>110</v>
      </c>
      <c r="D92" s="14">
        <v>1950</v>
      </c>
      <c r="E92" s="14">
        <v>12</v>
      </c>
      <c r="F92" s="14">
        <v>12</v>
      </c>
      <c r="G92" s="15">
        <f t="shared" si="3"/>
        <v>162.5</v>
      </c>
    </row>
    <row r="93" spans="1:7" ht="20.149999999999999" customHeight="1" x14ac:dyDescent="0.35">
      <c r="A93" s="2">
        <f t="shared" si="4"/>
        <v>81</v>
      </c>
      <c r="B93" s="14">
        <v>81</v>
      </c>
      <c r="C93" s="12" t="s">
        <v>276</v>
      </c>
      <c r="D93" s="14">
        <v>1920</v>
      </c>
      <c r="E93" s="14">
        <v>15</v>
      </c>
      <c r="F93" s="14">
        <v>15</v>
      </c>
      <c r="G93" s="15">
        <f t="shared" si="3"/>
        <v>128</v>
      </c>
    </row>
    <row r="94" spans="1:7" ht="20.149999999999999" customHeight="1" x14ac:dyDescent="0.35">
      <c r="A94" s="2">
        <f t="shared" si="4"/>
        <v>82</v>
      </c>
      <c r="B94" s="14">
        <v>82</v>
      </c>
      <c r="C94" s="12" t="s">
        <v>271</v>
      </c>
      <c r="D94" s="14">
        <v>1920</v>
      </c>
      <c r="E94" s="14">
        <v>9</v>
      </c>
      <c r="F94" s="14">
        <v>9</v>
      </c>
      <c r="G94" s="15">
        <f t="shared" si="3"/>
        <v>213.33333333333334</v>
      </c>
    </row>
    <row r="95" spans="1:7" ht="20.149999999999999" customHeight="1" x14ac:dyDescent="0.35">
      <c r="A95" s="2">
        <f t="shared" si="4"/>
        <v>83</v>
      </c>
      <c r="B95" s="14">
        <v>83</v>
      </c>
      <c r="C95" s="12" t="s">
        <v>303</v>
      </c>
      <c r="D95" s="14">
        <v>1900</v>
      </c>
      <c r="E95" s="14">
        <v>10</v>
      </c>
      <c r="F95" s="14">
        <v>10</v>
      </c>
      <c r="G95" s="15">
        <f t="shared" si="3"/>
        <v>190</v>
      </c>
    </row>
    <row r="96" spans="1:7" ht="20.149999999999999" customHeight="1" x14ac:dyDescent="0.35">
      <c r="A96" s="2">
        <f t="shared" si="4"/>
        <v>84</v>
      </c>
      <c r="B96" s="14">
        <v>84</v>
      </c>
      <c r="C96" s="12" t="s">
        <v>275</v>
      </c>
      <c r="D96" s="14">
        <v>1880</v>
      </c>
      <c r="E96" s="14">
        <v>10</v>
      </c>
      <c r="F96" s="14">
        <v>10</v>
      </c>
      <c r="G96" s="15">
        <f t="shared" si="3"/>
        <v>188</v>
      </c>
    </row>
    <row r="97" spans="1:7" ht="20.149999999999999" customHeight="1" x14ac:dyDescent="0.35">
      <c r="A97" s="2">
        <f t="shared" si="4"/>
        <v>85</v>
      </c>
      <c r="B97" s="14">
        <v>85</v>
      </c>
      <c r="C97" s="12" t="s">
        <v>165</v>
      </c>
      <c r="D97" s="14">
        <v>1840</v>
      </c>
      <c r="E97" s="14">
        <v>12</v>
      </c>
      <c r="F97" s="14">
        <v>12</v>
      </c>
      <c r="G97" s="15">
        <f t="shared" si="3"/>
        <v>153.33333333333334</v>
      </c>
    </row>
    <row r="98" spans="1:7" ht="20.149999999999999" customHeight="1" x14ac:dyDescent="0.35">
      <c r="A98" s="2">
        <f t="shared" si="4"/>
        <v>86</v>
      </c>
      <c r="B98" s="14">
        <v>86</v>
      </c>
      <c r="C98" s="12" t="s">
        <v>204</v>
      </c>
      <c r="D98" s="14">
        <v>1840</v>
      </c>
      <c r="E98" s="14">
        <v>9</v>
      </c>
      <c r="F98" s="14">
        <v>9</v>
      </c>
      <c r="G98" s="15">
        <f t="shared" si="3"/>
        <v>204.44444444444446</v>
      </c>
    </row>
    <row r="99" spans="1:7" ht="20.149999999999999" customHeight="1" x14ac:dyDescent="0.35">
      <c r="A99" s="2">
        <f t="shared" si="4"/>
        <v>87</v>
      </c>
      <c r="B99" s="14">
        <v>87</v>
      </c>
      <c r="C99" s="12" t="s">
        <v>20</v>
      </c>
      <c r="D99" s="14">
        <v>1740</v>
      </c>
      <c r="E99" s="14">
        <v>8</v>
      </c>
      <c r="F99" s="14">
        <v>8</v>
      </c>
      <c r="G99" s="15">
        <f t="shared" si="3"/>
        <v>217.5</v>
      </c>
    </row>
    <row r="100" spans="1:7" ht="20.149999999999999" customHeight="1" x14ac:dyDescent="0.35">
      <c r="A100" s="2">
        <f t="shared" si="4"/>
        <v>88</v>
      </c>
      <c r="B100" s="14">
        <v>88</v>
      </c>
      <c r="C100" s="12" t="s">
        <v>252</v>
      </c>
      <c r="D100" s="14">
        <v>1660</v>
      </c>
      <c r="E100" s="14">
        <v>10</v>
      </c>
      <c r="F100" s="14">
        <v>10</v>
      </c>
      <c r="G100" s="15">
        <f t="shared" si="3"/>
        <v>166</v>
      </c>
    </row>
    <row r="101" spans="1:7" ht="20.149999999999999" customHeight="1" x14ac:dyDescent="0.35">
      <c r="A101" s="2">
        <f t="shared" si="4"/>
        <v>89</v>
      </c>
      <c r="B101" s="14">
        <v>89</v>
      </c>
      <c r="C101" s="12" t="s">
        <v>295</v>
      </c>
      <c r="D101" s="14">
        <v>1640</v>
      </c>
      <c r="E101" s="14">
        <v>10</v>
      </c>
      <c r="F101" s="14">
        <v>10</v>
      </c>
      <c r="G101" s="15">
        <f t="shared" si="3"/>
        <v>164</v>
      </c>
    </row>
    <row r="102" spans="1:7" ht="20.149999999999999" customHeight="1" x14ac:dyDescent="0.35">
      <c r="A102" s="2">
        <f t="shared" si="4"/>
        <v>90</v>
      </c>
      <c r="B102" s="14">
        <v>90</v>
      </c>
      <c r="C102" s="12" t="s">
        <v>343</v>
      </c>
      <c r="D102" s="14">
        <v>1620</v>
      </c>
      <c r="E102" s="14">
        <v>12</v>
      </c>
      <c r="F102" s="14">
        <v>12</v>
      </c>
      <c r="G102" s="15">
        <f t="shared" si="3"/>
        <v>135</v>
      </c>
    </row>
    <row r="103" spans="1:7" ht="20.149999999999999" customHeight="1" x14ac:dyDescent="0.35">
      <c r="A103" s="2">
        <f t="shared" si="4"/>
        <v>91</v>
      </c>
      <c r="B103" s="14">
        <v>91</v>
      </c>
      <c r="C103" s="12" t="s">
        <v>357</v>
      </c>
      <c r="D103" s="14">
        <v>1540</v>
      </c>
      <c r="E103" s="14">
        <v>10</v>
      </c>
      <c r="F103" s="14">
        <v>10</v>
      </c>
      <c r="G103" s="15">
        <f t="shared" si="3"/>
        <v>154</v>
      </c>
    </row>
    <row r="104" spans="1:7" ht="20.149999999999999" customHeight="1" x14ac:dyDescent="0.35">
      <c r="A104" s="2">
        <f t="shared" si="4"/>
        <v>92</v>
      </c>
      <c r="B104" s="14">
        <v>92</v>
      </c>
      <c r="C104" s="12" t="s">
        <v>293</v>
      </c>
      <c r="D104" s="14">
        <v>1520</v>
      </c>
      <c r="E104" s="14">
        <v>13</v>
      </c>
      <c r="F104" s="14">
        <v>13</v>
      </c>
      <c r="G104" s="15">
        <f t="shared" si="3"/>
        <v>116.92307692307692</v>
      </c>
    </row>
    <row r="105" spans="1:7" ht="20.149999999999999" customHeight="1" x14ac:dyDescent="0.35">
      <c r="A105" s="2">
        <f t="shared" si="4"/>
        <v>93</v>
      </c>
      <c r="B105" s="14">
        <v>93</v>
      </c>
      <c r="C105" s="12" t="s">
        <v>290</v>
      </c>
      <c r="D105" s="14">
        <v>1460</v>
      </c>
      <c r="E105" s="14">
        <v>8</v>
      </c>
      <c r="F105" s="14">
        <v>8</v>
      </c>
      <c r="G105" s="15">
        <f t="shared" si="3"/>
        <v>182.5</v>
      </c>
    </row>
    <row r="106" spans="1:7" ht="20.149999999999999" customHeight="1" x14ac:dyDescent="0.35">
      <c r="A106" s="2">
        <f t="shared" si="4"/>
        <v>94</v>
      </c>
      <c r="B106" s="14">
        <v>94</v>
      </c>
      <c r="C106" s="12" t="s">
        <v>304</v>
      </c>
      <c r="D106" s="14">
        <v>1460</v>
      </c>
      <c r="E106" s="14">
        <v>7</v>
      </c>
      <c r="F106" s="14">
        <v>7</v>
      </c>
      <c r="G106" s="15">
        <f t="shared" si="3"/>
        <v>208.57142857142858</v>
      </c>
    </row>
    <row r="107" spans="1:7" ht="20.149999999999999" customHeight="1" x14ac:dyDescent="0.35">
      <c r="A107" s="2">
        <f t="shared" si="4"/>
        <v>95</v>
      </c>
      <c r="B107" s="14">
        <v>95</v>
      </c>
      <c r="C107" s="12" t="s">
        <v>305</v>
      </c>
      <c r="D107" s="14">
        <v>1400</v>
      </c>
      <c r="E107" s="14">
        <v>8</v>
      </c>
      <c r="F107" s="14">
        <v>8</v>
      </c>
      <c r="G107" s="15">
        <f t="shared" si="3"/>
        <v>175</v>
      </c>
    </row>
    <row r="108" spans="1:7" ht="20.149999999999999" customHeight="1" x14ac:dyDescent="0.35">
      <c r="A108" s="2">
        <f t="shared" si="4"/>
        <v>96</v>
      </c>
      <c r="B108" s="14">
        <v>96</v>
      </c>
      <c r="C108" s="12" t="s">
        <v>164</v>
      </c>
      <c r="D108" s="14">
        <v>1360</v>
      </c>
      <c r="E108" s="14">
        <v>7</v>
      </c>
      <c r="F108" s="14">
        <v>7</v>
      </c>
      <c r="G108" s="15">
        <f t="shared" si="3"/>
        <v>194.28571428571428</v>
      </c>
    </row>
    <row r="109" spans="1:7" ht="20.149999999999999" customHeight="1" x14ac:dyDescent="0.35">
      <c r="A109" s="2">
        <f t="shared" si="4"/>
        <v>97</v>
      </c>
      <c r="B109" s="14">
        <v>97</v>
      </c>
      <c r="C109" s="12" t="s">
        <v>11</v>
      </c>
      <c r="D109" s="14">
        <v>1300</v>
      </c>
      <c r="E109" s="14">
        <v>7</v>
      </c>
      <c r="F109" s="14">
        <v>7</v>
      </c>
      <c r="G109" s="15">
        <f t="shared" ref="G109:G140" si="5">IFERROR(D109/F109,0)</f>
        <v>185.71428571428572</v>
      </c>
    </row>
    <row r="110" spans="1:7" ht="20.149999999999999" customHeight="1" x14ac:dyDescent="0.35">
      <c r="A110" s="2">
        <f t="shared" si="4"/>
        <v>98</v>
      </c>
      <c r="B110" s="14">
        <v>98</v>
      </c>
      <c r="C110" s="12" t="s">
        <v>97</v>
      </c>
      <c r="D110" s="14">
        <v>1300</v>
      </c>
      <c r="E110" s="14">
        <v>7</v>
      </c>
      <c r="F110" s="14">
        <v>7</v>
      </c>
      <c r="G110" s="15">
        <f t="shared" si="5"/>
        <v>185.71428571428572</v>
      </c>
    </row>
    <row r="111" spans="1:7" ht="20.149999999999999" customHeight="1" x14ac:dyDescent="0.35">
      <c r="A111" s="2">
        <f t="shared" si="4"/>
        <v>99</v>
      </c>
      <c r="B111" s="14">
        <v>99</v>
      </c>
      <c r="C111" s="12" t="s">
        <v>167</v>
      </c>
      <c r="D111" s="14">
        <v>1260</v>
      </c>
      <c r="E111" s="14">
        <v>8</v>
      </c>
      <c r="F111" s="14">
        <v>8</v>
      </c>
      <c r="G111" s="15">
        <f t="shared" si="5"/>
        <v>157.5</v>
      </c>
    </row>
    <row r="112" spans="1:7" ht="20.149999999999999" customHeight="1" x14ac:dyDescent="0.35">
      <c r="A112" s="2">
        <f t="shared" si="4"/>
        <v>100</v>
      </c>
      <c r="B112" s="14">
        <v>100</v>
      </c>
      <c r="C112" s="12" t="s">
        <v>268</v>
      </c>
      <c r="D112" s="14">
        <v>1220</v>
      </c>
      <c r="E112" s="14">
        <v>6</v>
      </c>
      <c r="F112" s="14">
        <v>6</v>
      </c>
      <c r="G112" s="15">
        <f t="shared" si="5"/>
        <v>203.33333333333334</v>
      </c>
    </row>
    <row r="113" spans="1:7" ht="20.149999999999999" customHeight="1" x14ac:dyDescent="0.35">
      <c r="A113" s="2">
        <f t="shared" si="4"/>
        <v>101</v>
      </c>
      <c r="B113" s="14">
        <v>101</v>
      </c>
      <c r="C113" s="12" t="s">
        <v>91</v>
      </c>
      <c r="D113" s="14">
        <v>1160</v>
      </c>
      <c r="E113" s="14">
        <v>8</v>
      </c>
      <c r="F113" s="14">
        <v>8</v>
      </c>
      <c r="G113" s="15">
        <f t="shared" si="5"/>
        <v>145</v>
      </c>
    </row>
    <row r="114" spans="1:7" ht="20.149999999999999" customHeight="1" x14ac:dyDescent="0.35">
      <c r="A114" s="2">
        <f t="shared" si="4"/>
        <v>102</v>
      </c>
      <c r="B114" s="14">
        <v>102</v>
      </c>
      <c r="C114" s="12" t="s">
        <v>244</v>
      </c>
      <c r="D114" s="14">
        <v>1080</v>
      </c>
      <c r="E114" s="14">
        <v>7</v>
      </c>
      <c r="F114" s="14">
        <v>7</v>
      </c>
      <c r="G114" s="15">
        <f t="shared" si="5"/>
        <v>154.28571428571428</v>
      </c>
    </row>
    <row r="115" spans="1:7" ht="20.149999999999999" customHeight="1" x14ac:dyDescent="0.35">
      <c r="A115" s="2">
        <f t="shared" si="4"/>
        <v>103</v>
      </c>
      <c r="B115" s="14">
        <v>103</v>
      </c>
      <c r="C115" s="12" t="s">
        <v>329</v>
      </c>
      <c r="D115" s="14">
        <v>1030</v>
      </c>
      <c r="E115" s="14">
        <v>7</v>
      </c>
      <c r="F115" s="14">
        <v>7</v>
      </c>
      <c r="G115" s="15">
        <f t="shared" si="5"/>
        <v>147.14285714285714</v>
      </c>
    </row>
    <row r="116" spans="1:7" ht="20.149999999999999" customHeight="1" x14ac:dyDescent="0.35">
      <c r="A116" s="2">
        <f t="shared" si="4"/>
        <v>104</v>
      </c>
      <c r="B116" s="14">
        <v>104</v>
      </c>
      <c r="C116" s="12" t="s">
        <v>265</v>
      </c>
      <c r="D116" s="14">
        <v>1000</v>
      </c>
      <c r="E116" s="14">
        <v>5</v>
      </c>
      <c r="F116" s="14">
        <v>5</v>
      </c>
      <c r="G116" s="15">
        <f t="shared" si="5"/>
        <v>200</v>
      </c>
    </row>
    <row r="117" spans="1:7" ht="20.149999999999999" customHeight="1" x14ac:dyDescent="0.35">
      <c r="A117" s="2">
        <f t="shared" si="4"/>
        <v>105</v>
      </c>
      <c r="B117" s="14">
        <v>105</v>
      </c>
      <c r="C117" s="12" t="s">
        <v>285</v>
      </c>
      <c r="D117" s="14">
        <v>960</v>
      </c>
      <c r="E117" s="14">
        <v>6</v>
      </c>
      <c r="F117" s="14">
        <v>6</v>
      </c>
      <c r="G117" s="15">
        <f t="shared" si="5"/>
        <v>160</v>
      </c>
    </row>
    <row r="118" spans="1:7" ht="20.149999999999999" customHeight="1" x14ac:dyDescent="0.35">
      <c r="A118" s="2">
        <f t="shared" si="4"/>
        <v>106</v>
      </c>
      <c r="B118" s="14">
        <v>106</v>
      </c>
      <c r="C118" s="12" t="s">
        <v>288</v>
      </c>
      <c r="D118" s="14">
        <v>910</v>
      </c>
      <c r="E118" s="14">
        <v>5</v>
      </c>
      <c r="F118" s="14">
        <v>5</v>
      </c>
      <c r="G118" s="15">
        <f t="shared" si="5"/>
        <v>182</v>
      </c>
    </row>
    <row r="119" spans="1:7" ht="20.149999999999999" customHeight="1" x14ac:dyDescent="0.35">
      <c r="A119" s="2">
        <f t="shared" si="4"/>
        <v>107</v>
      </c>
      <c r="B119" s="14">
        <v>107</v>
      </c>
      <c r="C119" s="12" t="s">
        <v>56</v>
      </c>
      <c r="D119" s="14">
        <v>910</v>
      </c>
      <c r="E119" s="14">
        <v>5</v>
      </c>
      <c r="F119" s="14">
        <v>5</v>
      </c>
      <c r="G119" s="15">
        <f t="shared" si="5"/>
        <v>182</v>
      </c>
    </row>
    <row r="120" spans="1:7" ht="20.149999999999999" customHeight="1" x14ac:dyDescent="0.35">
      <c r="A120" s="2">
        <f t="shared" si="4"/>
        <v>108</v>
      </c>
      <c r="B120" s="14">
        <v>108</v>
      </c>
      <c r="C120" s="12" t="s">
        <v>108</v>
      </c>
      <c r="D120" s="14">
        <v>890</v>
      </c>
      <c r="E120" s="14">
        <v>7</v>
      </c>
      <c r="F120" s="14">
        <v>7</v>
      </c>
      <c r="G120" s="15">
        <f t="shared" si="5"/>
        <v>127.14285714285714</v>
      </c>
    </row>
    <row r="121" spans="1:7" ht="20.149999999999999" customHeight="1" x14ac:dyDescent="0.35">
      <c r="A121" s="2">
        <f t="shared" si="4"/>
        <v>109</v>
      </c>
      <c r="B121" s="14">
        <v>109</v>
      </c>
      <c r="C121" s="12" t="s">
        <v>316</v>
      </c>
      <c r="D121" s="14">
        <v>860</v>
      </c>
      <c r="E121" s="14">
        <v>5</v>
      </c>
      <c r="F121" s="14">
        <v>5</v>
      </c>
      <c r="G121" s="15">
        <f t="shared" si="5"/>
        <v>172</v>
      </c>
    </row>
    <row r="122" spans="1:7" ht="20.149999999999999" customHeight="1" x14ac:dyDescent="0.35">
      <c r="A122" s="2">
        <f t="shared" si="4"/>
        <v>110</v>
      </c>
      <c r="B122" s="14">
        <v>110</v>
      </c>
      <c r="C122" s="12" t="s">
        <v>296</v>
      </c>
      <c r="D122" s="14">
        <v>840</v>
      </c>
      <c r="E122" s="14">
        <v>4</v>
      </c>
      <c r="F122" s="14">
        <v>4</v>
      </c>
      <c r="G122" s="15">
        <f t="shared" si="5"/>
        <v>210</v>
      </c>
    </row>
    <row r="123" spans="1:7" ht="20.149999999999999" customHeight="1" x14ac:dyDescent="0.35">
      <c r="A123" s="2">
        <f t="shared" si="4"/>
        <v>111</v>
      </c>
      <c r="B123" s="14">
        <v>111</v>
      </c>
      <c r="C123" s="12" t="s">
        <v>292</v>
      </c>
      <c r="D123" s="14">
        <v>820</v>
      </c>
      <c r="E123" s="14">
        <v>4</v>
      </c>
      <c r="F123" s="14">
        <v>4</v>
      </c>
      <c r="G123" s="15">
        <f t="shared" si="5"/>
        <v>205</v>
      </c>
    </row>
    <row r="124" spans="1:7" ht="20.149999999999999" customHeight="1" x14ac:dyDescent="0.35">
      <c r="A124" s="2">
        <f t="shared" si="4"/>
        <v>112</v>
      </c>
      <c r="B124" s="14">
        <v>112</v>
      </c>
      <c r="C124" s="12" t="s">
        <v>306</v>
      </c>
      <c r="D124" s="14">
        <v>770</v>
      </c>
      <c r="E124" s="14">
        <v>6</v>
      </c>
      <c r="F124" s="14">
        <v>6</v>
      </c>
      <c r="G124" s="15">
        <f t="shared" si="5"/>
        <v>128.33333333333334</v>
      </c>
    </row>
    <row r="125" spans="1:7" ht="20.149999999999999" customHeight="1" x14ac:dyDescent="0.35">
      <c r="A125" s="2">
        <f t="shared" si="4"/>
        <v>113</v>
      </c>
      <c r="B125" s="14">
        <v>113</v>
      </c>
      <c r="C125" s="12" t="s">
        <v>334</v>
      </c>
      <c r="D125" s="14">
        <v>720</v>
      </c>
      <c r="E125" s="14">
        <v>5</v>
      </c>
      <c r="F125" s="14">
        <v>5</v>
      </c>
      <c r="G125" s="15">
        <f t="shared" si="5"/>
        <v>144</v>
      </c>
    </row>
    <row r="126" spans="1:7" ht="20.149999999999999" customHeight="1" x14ac:dyDescent="0.35">
      <c r="A126" s="2">
        <f t="shared" si="4"/>
        <v>114</v>
      </c>
      <c r="B126" s="14">
        <v>114</v>
      </c>
      <c r="C126" s="12" t="s">
        <v>36</v>
      </c>
      <c r="D126" s="14">
        <v>700</v>
      </c>
      <c r="E126" s="14">
        <v>4</v>
      </c>
      <c r="F126" s="14">
        <v>4</v>
      </c>
      <c r="G126" s="15">
        <f t="shared" si="5"/>
        <v>175</v>
      </c>
    </row>
    <row r="127" spans="1:7" ht="20.149999999999999" customHeight="1" x14ac:dyDescent="0.35">
      <c r="A127" s="2">
        <f t="shared" si="4"/>
        <v>115</v>
      </c>
      <c r="B127" s="14">
        <v>115</v>
      </c>
      <c r="C127" s="12" t="s">
        <v>307</v>
      </c>
      <c r="D127" s="14">
        <v>620</v>
      </c>
      <c r="E127" s="14">
        <v>3</v>
      </c>
      <c r="F127" s="14">
        <v>3</v>
      </c>
      <c r="G127" s="15">
        <f t="shared" si="5"/>
        <v>206.66666666666666</v>
      </c>
    </row>
    <row r="128" spans="1:7" ht="20.149999999999999" customHeight="1" x14ac:dyDescent="0.35">
      <c r="A128" s="2">
        <f t="shared" si="4"/>
        <v>116</v>
      </c>
      <c r="B128" s="14">
        <v>116</v>
      </c>
      <c r="C128" s="12" t="s">
        <v>259</v>
      </c>
      <c r="D128" s="14">
        <v>600</v>
      </c>
      <c r="E128" s="14">
        <v>3</v>
      </c>
      <c r="F128" s="14">
        <v>3</v>
      </c>
      <c r="G128" s="15">
        <f t="shared" si="5"/>
        <v>200</v>
      </c>
    </row>
    <row r="129" spans="1:7" ht="20.149999999999999" customHeight="1" x14ac:dyDescent="0.35">
      <c r="A129" s="2">
        <f t="shared" si="4"/>
        <v>117</v>
      </c>
      <c r="B129" s="14">
        <v>117</v>
      </c>
      <c r="C129" s="12" t="s">
        <v>74</v>
      </c>
      <c r="D129" s="14">
        <v>560</v>
      </c>
      <c r="E129" s="14">
        <v>3</v>
      </c>
      <c r="F129" s="14">
        <v>3</v>
      </c>
      <c r="G129" s="15">
        <f t="shared" si="5"/>
        <v>186.66666666666666</v>
      </c>
    </row>
    <row r="130" spans="1:7" ht="20.149999999999999" customHeight="1" x14ac:dyDescent="0.35">
      <c r="A130" s="2">
        <f t="shared" si="4"/>
        <v>118</v>
      </c>
      <c r="B130" s="14">
        <v>118</v>
      </c>
      <c r="C130" s="12" t="s">
        <v>362</v>
      </c>
      <c r="D130" s="14">
        <v>470</v>
      </c>
      <c r="E130" s="14">
        <v>4</v>
      </c>
      <c r="F130" s="14">
        <v>4</v>
      </c>
      <c r="G130" s="15">
        <f t="shared" si="5"/>
        <v>117.5</v>
      </c>
    </row>
    <row r="131" spans="1:7" ht="20.149999999999999" customHeight="1" x14ac:dyDescent="0.35">
      <c r="A131" s="2">
        <f t="shared" si="4"/>
        <v>119</v>
      </c>
      <c r="B131" s="14">
        <v>119</v>
      </c>
      <c r="C131" s="12" t="s">
        <v>247</v>
      </c>
      <c r="D131" s="14">
        <v>360</v>
      </c>
      <c r="E131" s="14">
        <v>2</v>
      </c>
      <c r="F131" s="14">
        <v>2</v>
      </c>
      <c r="G131" s="15">
        <f t="shared" si="5"/>
        <v>180</v>
      </c>
    </row>
    <row r="132" spans="1:7" ht="20.149999999999999" customHeight="1" x14ac:dyDescent="0.35">
      <c r="A132" s="2">
        <f t="shared" si="4"/>
        <v>120</v>
      </c>
      <c r="B132" s="14">
        <v>120</v>
      </c>
      <c r="C132" s="12" t="s">
        <v>287</v>
      </c>
      <c r="D132" s="14">
        <v>230</v>
      </c>
      <c r="E132" s="14">
        <v>2</v>
      </c>
      <c r="F132" s="14">
        <v>2</v>
      </c>
      <c r="G132" s="15">
        <f t="shared" si="5"/>
        <v>115</v>
      </c>
    </row>
    <row r="133" spans="1:7" ht="20.149999999999999" customHeight="1" x14ac:dyDescent="0.35">
      <c r="A133" s="2">
        <f t="shared" si="4"/>
        <v>121</v>
      </c>
      <c r="B133" s="14">
        <v>121</v>
      </c>
      <c r="C133" s="12" t="s">
        <v>358</v>
      </c>
      <c r="D133" s="14">
        <v>220</v>
      </c>
      <c r="E133" s="14">
        <v>1</v>
      </c>
      <c r="F133" s="14">
        <v>1</v>
      </c>
      <c r="G133" s="15">
        <f t="shared" si="5"/>
        <v>220</v>
      </c>
    </row>
    <row r="134" spans="1:7" ht="20.149999999999999" customHeight="1" x14ac:dyDescent="0.35">
      <c r="A134" s="2">
        <f t="shared" si="4"/>
        <v>122</v>
      </c>
      <c r="B134" s="14">
        <v>122</v>
      </c>
      <c r="C134" s="12" t="s">
        <v>297</v>
      </c>
      <c r="D134" s="14">
        <v>0</v>
      </c>
      <c r="E134" s="14">
        <v>0</v>
      </c>
      <c r="F134" s="14">
        <v>0</v>
      </c>
      <c r="G134" s="15">
        <f t="shared" si="5"/>
        <v>0</v>
      </c>
    </row>
    <row r="135" spans="1:7" ht="20.149999999999999" customHeight="1" x14ac:dyDescent="0.35">
      <c r="A135" s="2">
        <f t="shared" si="4"/>
        <v>123</v>
      </c>
      <c r="B135" s="14">
        <v>123</v>
      </c>
      <c r="C135" s="12" t="s">
        <v>300</v>
      </c>
      <c r="D135" s="14">
        <v>0</v>
      </c>
      <c r="E135" s="14">
        <v>0</v>
      </c>
      <c r="F135" s="14">
        <v>0</v>
      </c>
      <c r="G135" s="15">
        <f t="shared" si="5"/>
        <v>0</v>
      </c>
    </row>
    <row r="136" spans="1:7" ht="20.149999999999999" customHeight="1" x14ac:dyDescent="0.35">
      <c r="A136" s="2">
        <f t="shared" si="4"/>
        <v>124</v>
      </c>
      <c r="B136" s="14">
        <v>124</v>
      </c>
      <c r="C136" s="12" t="s">
        <v>298</v>
      </c>
      <c r="D136" s="14">
        <v>0</v>
      </c>
      <c r="E136" s="14">
        <v>0</v>
      </c>
      <c r="F136" s="14">
        <v>0</v>
      </c>
      <c r="G136" s="15">
        <f t="shared" si="5"/>
        <v>0</v>
      </c>
    </row>
    <row r="137" spans="1:7" ht="20.149999999999999" customHeight="1" x14ac:dyDescent="0.35">
      <c r="A137" s="2">
        <f t="shared" si="4"/>
        <v>125</v>
      </c>
      <c r="B137" s="14">
        <v>125</v>
      </c>
      <c r="C137" s="12" t="s">
        <v>301</v>
      </c>
      <c r="D137" s="14">
        <v>0</v>
      </c>
      <c r="E137" s="14">
        <v>0</v>
      </c>
      <c r="F137" s="14">
        <v>0</v>
      </c>
      <c r="G137" s="15">
        <f t="shared" si="5"/>
        <v>0</v>
      </c>
    </row>
    <row r="138" spans="1:7" ht="20.149999999999999" customHeight="1" x14ac:dyDescent="0.35">
      <c r="A138" s="2">
        <f t="shared" si="4"/>
        <v>126</v>
      </c>
      <c r="B138" s="14">
        <v>126</v>
      </c>
      <c r="C138" s="12" t="s">
        <v>299</v>
      </c>
      <c r="D138" s="14">
        <v>0</v>
      </c>
      <c r="E138" s="14">
        <v>0</v>
      </c>
      <c r="F138" s="14">
        <v>0</v>
      </c>
      <c r="G138" s="15">
        <f t="shared" si="5"/>
        <v>0</v>
      </c>
    </row>
    <row r="139" spans="1:7" ht="20.149999999999999" customHeight="1" x14ac:dyDescent="0.35">
      <c r="A139" s="2">
        <f t="shared" si="4"/>
        <v>127</v>
      </c>
      <c r="B139" s="14">
        <v>127</v>
      </c>
      <c r="C139" s="12" t="s">
        <v>359</v>
      </c>
      <c r="D139" s="14">
        <v>0</v>
      </c>
      <c r="E139" s="14">
        <v>0</v>
      </c>
      <c r="F139" s="14">
        <v>0</v>
      </c>
      <c r="G139" s="15">
        <f t="shared" si="5"/>
        <v>0</v>
      </c>
    </row>
    <row r="140" spans="1:7" ht="20.149999999999999" customHeight="1" x14ac:dyDescent="0.35">
      <c r="A140" s="2">
        <f t="shared" si="4"/>
        <v>128</v>
      </c>
      <c r="B140" s="14">
        <v>128</v>
      </c>
      <c r="C140" s="12" t="s">
        <v>96</v>
      </c>
      <c r="D140" s="14">
        <v>0</v>
      </c>
      <c r="E140" s="14">
        <v>0</v>
      </c>
      <c r="F140" s="14">
        <v>0</v>
      </c>
      <c r="G140" s="15">
        <f t="shared" si="5"/>
        <v>0</v>
      </c>
    </row>
    <row r="141" spans="1:7" ht="20.149999999999999" customHeight="1" x14ac:dyDescent="0.35">
      <c r="A141" s="2">
        <f t="shared" si="4"/>
        <v>129</v>
      </c>
      <c r="B141" s="14">
        <v>129</v>
      </c>
      <c r="C141" s="12" t="s">
        <v>227</v>
      </c>
      <c r="D141" s="14">
        <v>0</v>
      </c>
      <c r="E141" s="14">
        <v>0</v>
      </c>
      <c r="F141" s="14">
        <v>0</v>
      </c>
      <c r="G141" s="15">
        <f t="shared" ref="G141:G146" si="6">IFERROR(D141/F141,0)</f>
        <v>0</v>
      </c>
    </row>
    <row r="142" spans="1:7" ht="20.149999999999999" customHeight="1" x14ac:dyDescent="0.35">
      <c r="A142" s="2">
        <f t="shared" ref="A142:A146" si="7">ROW(A130)</f>
        <v>130</v>
      </c>
      <c r="B142" s="14">
        <v>130</v>
      </c>
      <c r="C142" s="12" t="s">
        <v>279</v>
      </c>
      <c r="D142" s="14">
        <v>0</v>
      </c>
      <c r="E142" s="14">
        <v>0</v>
      </c>
      <c r="F142" s="14">
        <v>0</v>
      </c>
      <c r="G142" s="15">
        <f t="shared" si="6"/>
        <v>0</v>
      </c>
    </row>
    <row r="143" spans="1:7" ht="20.149999999999999" customHeight="1" x14ac:dyDescent="0.35">
      <c r="A143" s="2">
        <f t="shared" si="7"/>
        <v>131</v>
      </c>
      <c r="B143" s="14">
        <v>131</v>
      </c>
      <c r="C143" s="12" t="s">
        <v>261</v>
      </c>
      <c r="D143" s="14">
        <v>0</v>
      </c>
      <c r="E143" s="14">
        <v>0</v>
      </c>
      <c r="F143" s="14">
        <v>0</v>
      </c>
      <c r="G143" s="15">
        <f t="shared" si="6"/>
        <v>0</v>
      </c>
    </row>
    <row r="144" spans="1:7" ht="20.149999999999999" customHeight="1" x14ac:dyDescent="0.35">
      <c r="A144" s="2">
        <f t="shared" si="7"/>
        <v>132</v>
      </c>
      <c r="B144" s="14">
        <v>132</v>
      </c>
      <c r="C144" s="12" t="s">
        <v>294</v>
      </c>
      <c r="D144" s="14">
        <v>0</v>
      </c>
      <c r="E144" s="14">
        <v>0</v>
      </c>
      <c r="F144" s="14">
        <v>0</v>
      </c>
      <c r="G144" s="15">
        <f t="shared" si="6"/>
        <v>0</v>
      </c>
    </row>
    <row r="145" spans="1:7" ht="20.149999999999999" customHeight="1" x14ac:dyDescent="0.35">
      <c r="A145" s="2">
        <f t="shared" si="7"/>
        <v>133</v>
      </c>
      <c r="B145" s="14">
        <v>133</v>
      </c>
      <c r="C145" s="12" t="s">
        <v>360</v>
      </c>
      <c r="D145" s="14">
        <v>0</v>
      </c>
      <c r="E145" s="14">
        <v>0</v>
      </c>
      <c r="F145" s="14">
        <v>0</v>
      </c>
      <c r="G145" s="15">
        <f t="shared" si="6"/>
        <v>0</v>
      </c>
    </row>
    <row r="146" spans="1:7" ht="20.149999999999999" customHeight="1" x14ac:dyDescent="0.35">
      <c r="A146" s="2">
        <f t="shared" si="7"/>
        <v>134</v>
      </c>
      <c r="B146" s="14">
        <v>134</v>
      </c>
      <c r="C146" s="12" t="s">
        <v>361</v>
      </c>
      <c r="D146" s="14">
        <v>0</v>
      </c>
      <c r="E146" s="14">
        <v>0</v>
      </c>
      <c r="F146" s="14">
        <v>0</v>
      </c>
      <c r="G146" s="15">
        <f t="shared" si="6"/>
        <v>0</v>
      </c>
    </row>
    <row r="147" spans="1:7" ht="20.149999999999999" customHeight="1" x14ac:dyDescent="0.35">
      <c r="B147" s="12" t="s">
        <v>131</v>
      </c>
      <c r="C147" s="12"/>
      <c r="D147" s="15">
        <f>SUBTOTAL(109,AllianceMobilization202609[Points
reached])</f>
        <v>267440</v>
      </c>
      <c r="E147" s="15">
        <f>SUBTOTAL(109,AllianceMobilization202609[Quests
started])</f>
        <v>1526</v>
      </c>
      <c r="F147" s="15">
        <f>SUBTOTAL(109,AllianceMobilization202609[Quests
completed])</f>
        <v>1526</v>
      </c>
      <c r="G147" s="16"/>
    </row>
    <row r="148" spans="1:7" ht="20.149999999999999" customHeight="1" x14ac:dyDescent="0.35">
      <c r="B148" s="5" t="s">
        <v>132</v>
      </c>
      <c r="C148" s="5"/>
      <c r="D148" s="6">
        <f>AVERAGE(D13:D146)</f>
        <v>1995.8208955223881</v>
      </c>
      <c r="E148" s="6">
        <f>AVERAGE(E13:E146)</f>
        <v>11.388059701492537</v>
      </c>
      <c r="F148" s="6">
        <f>AVERAGE(F13:F146)</f>
        <v>11.388059701492537</v>
      </c>
      <c r="G148" s="6">
        <f>AVERAGE(G13:G146)</f>
        <v>158.33241290139463</v>
      </c>
    </row>
  </sheetData>
  <mergeCells count="7">
    <mergeCell ref="B10:C10"/>
    <mergeCell ref="B3:C3"/>
    <mergeCell ref="B4:C4"/>
    <mergeCell ref="B5:C5"/>
    <mergeCell ref="B6:C6"/>
    <mergeCell ref="B7:C7"/>
    <mergeCell ref="B9:C9"/>
  </mergeCells>
  <conditionalFormatting sqref="D13:D146">
    <cfRule type="cellIs" dxfId="2" priority="1" operator="lessThan">
      <formula>$D$10</formula>
    </cfRule>
    <cfRule type="cellIs" dxfId="1" priority="2" operator="greaterThan">
      <formula>$D$10</formula>
    </cfRule>
    <cfRule type="cellIs" dxfId="0" priority="3" operator="equal">
      <formula>$D$10</formula>
    </cfRule>
  </conditionalFormatting>
  <pageMargins left="0.70866141732283472" right="0.70866141732283472" top="0.78740157480314965" bottom="0.78740157480314965" header="0.31496062992125984" footer="0.31496062992125984"/>
  <pageSetup paperSize="9" scale="73" fitToHeight="0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9C7A-C31C-444C-9763-F2B307F2A8B3}">
  <dimension ref="A1:E21"/>
  <sheetViews>
    <sheetView tabSelected="1" workbookViewId="0">
      <selection activeCell="C23" sqref="C23"/>
    </sheetView>
  </sheetViews>
  <sheetFormatPr baseColWidth="10" defaultRowHeight="14.5" x14ac:dyDescent="0.35"/>
  <cols>
    <col min="1" max="1" width="6.6328125" customWidth="1"/>
    <col min="2" max="2" width="32.6328125" customWidth="1"/>
    <col min="3" max="3" width="32.6328125" style="21" customWidth="1"/>
    <col min="4" max="5" width="32.6328125" customWidth="1"/>
  </cols>
  <sheetData>
    <row r="1" spans="1:5" s="21" customFormat="1" ht="24" customHeight="1" x14ac:dyDescent="0.35">
      <c r="B1" s="9" t="s">
        <v>376</v>
      </c>
      <c r="C1" s="10"/>
      <c r="D1" s="10"/>
    </row>
    <row r="2" spans="1:5" s="21" customFormat="1" ht="20" customHeight="1" x14ac:dyDescent="0.35">
      <c r="B2" s="10"/>
      <c r="C2" s="10"/>
      <c r="D2" s="10"/>
    </row>
    <row r="3" spans="1:5" s="21" customFormat="1" ht="20" customHeight="1" x14ac:dyDescent="0.35">
      <c r="B3" s="3" t="s">
        <v>236</v>
      </c>
      <c r="C3" s="19">
        <v>3662</v>
      </c>
    </row>
    <row r="4" spans="1:5" s="21" customFormat="1" ht="20" customHeight="1" x14ac:dyDescent="0.35">
      <c r="B4" s="3" t="s">
        <v>377</v>
      </c>
      <c r="C4" s="22" t="str">
        <f>"November 2025"</f>
        <v>November 2025</v>
      </c>
    </row>
    <row r="5" spans="1:5" s="21" customFormat="1" ht="20" customHeight="1" x14ac:dyDescent="0.35">
      <c r="B5" s="3" t="s">
        <v>378</v>
      </c>
      <c r="C5" s="22" t="str">
        <f>"September 2026"</f>
        <v>September 2026</v>
      </c>
      <c r="D5" s="19"/>
    </row>
    <row r="6" spans="1:5" s="21" customFormat="1" ht="20" customHeight="1" x14ac:dyDescent="0.35"/>
    <row r="7" spans="1:5" ht="20" customHeight="1" x14ac:dyDescent="0.35">
      <c r="A7" s="2">
        <f>ROW(A1)</f>
        <v>1</v>
      </c>
      <c r="B7" s="12" t="s">
        <v>365</v>
      </c>
      <c r="C7" s="12" t="s">
        <v>380</v>
      </c>
      <c r="D7" s="12" t="s">
        <v>381</v>
      </c>
      <c r="E7" s="12" t="s">
        <v>382</v>
      </c>
    </row>
    <row r="8" spans="1:5" ht="20" customHeight="1" x14ac:dyDescent="0.35">
      <c r="A8" s="2">
        <f>ROW(A2)</f>
        <v>2</v>
      </c>
      <c r="B8" s="12" t="s">
        <v>373</v>
      </c>
      <c r="C8" s="12" t="s">
        <v>263</v>
      </c>
      <c r="D8" s="12" t="s">
        <v>218</v>
      </c>
      <c r="E8" s="12" t="s">
        <v>372</v>
      </c>
    </row>
    <row r="9" spans="1:5" s="21" customFormat="1" ht="20" customHeight="1" x14ac:dyDescent="0.35">
      <c r="A9" s="2">
        <f>ROW(A3)</f>
        <v>3</v>
      </c>
      <c r="B9" s="12" t="s">
        <v>344</v>
      </c>
      <c r="C9" s="12" t="s">
        <v>207</v>
      </c>
      <c r="D9" s="12"/>
      <c r="E9" s="12"/>
    </row>
    <row r="10" spans="1:5" s="21" customFormat="1" ht="20" customHeight="1" x14ac:dyDescent="0.35">
      <c r="A10" s="2">
        <f t="shared" ref="A10:A21" si="0">ROW(A6)</f>
        <v>6</v>
      </c>
      <c r="B10" s="12" t="s">
        <v>368</v>
      </c>
      <c r="C10" s="12" t="s">
        <v>369</v>
      </c>
      <c r="D10" s="12"/>
      <c r="E10" s="12"/>
    </row>
    <row r="11" spans="1:5" s="21" customFormat="1" ht="20" customHeight="1" x14ac:dyDescent="0.35">
      <c r="A11" s="2">
        <f t="shared" si="0"/>
        <v>7</v>
      </c>
      <c r="B11" s="12" t="s">
        <v>366</v>
      </c>
      <c r="C11" s="12" t="s">
        <v>367</v>
      </c>
      <c r="D11" s="12"/>
      <c r="E11" s="12"/>
    </row>
    <row r="12" spans="1:5" s="21" customFormat="1" ht="20" customHeight="1" x14ac:dyDescent="0.35">
      <c r="A12" s="2">
        <f t="shared" si="0"/>
        <v>8</v>
      </c>
      <c r="B12" s="12" t="s">
        <v>370</v>
      </c>
      <c r="C12" s="12" t="s">
        <v>371</v>
      </c>
      <c r="D12" s="12"/>
      <c r="E12" s="12"/>
    </row>
    <row r="13" spans="1:5" s="21" customFormat="1" ht="20" customHeight="1" x14ac:dyDescent="0.35">
      <c r="A13" s="2">
        <f t="shared" si="0"/>
        <v>9</v>
      </c>
      <c r="B13" s="12" t="s">
        <v>375</v>
      </c>
      <c r="C13" s="12" t="s">
        <v>266</v>
      </c>
      <c r="D13" s="12"/>
      <c r="E13" s="12"/>
    </row>
    <row r="14" spans="1:5" s="21" customFormat="1" ht="20" customHeight="1" x14ac:dyDescent="0.35">
      <c r="A14" s="2">
        <f t="shared" si="0"/>
        <v>10</v>
      </c>
      <c r="B14" s="12" t="s">
        <v>374</v>
      </c>
      <c r="C14" s="12" t="s">
        <v>15</v>
      </c>
      <c r="D14" s="12"/>
      <c r="E14" s="12"/>
    </row>
    <row r="15" spans="1:5" s="21" customFormat="1" ht="20" customHeight="1" x14ac:dyDescent="0.35">
      <c r="A15" s="2">
        <f t="shared" si="0"/>
        <v>11</v>
      </c>
      <c r="B15" s="12" t="s">
        <v>195</v>
      </c>
      <c r="C15" s="12" t="s">
        <v>22</v>
      </c>
      <c r="D15" s="12"/>
      <c r="E15" s="12"/>
    </row>
    <row r="16" spans="1:5" s="21" customFormat="1" ht="20" customHeight="1" x14ac:dyDescent="0.35">
      <c r="A16" s="2">
        <f t="shared" si="0"/>
        <v>12</v>
      </c>
      <c r="B16" s="12" t="s">
        <v>283</v>
      </c>
      <c r="C16" s="12" t="s">
        <v>231</v>
      </c>
      <c r="D16" s="12" t="s">
        <v>92</v>
      </c>
      <c r="E16" s="12"/>
    </row>
    <row r="17" spans="1:5" s="21" customFormat="1" ht="20" customHeight="1" x14ac:dyDescent="0.35">
      <c r="A17" s="2">
        <f t="shared" si="0"/>
        <v>13</v>
      </c>
      <c r="B17" s="12" t="s">
        <v>217</v>
      </c>
      <c r="C17" s="12" t="s">
        <v>102</v>
      </c>
      <c r="D17" s="12"/>
      <c r="E17" s="12"/>
    </row>
    <row r="18" spans="1:5" s="21" customFormat="1" ht="20" customHeight="1" x14ac:dyDescent="0.35">
      <c r="A18" s="2">
        <f t="shared" si="0"/>
        <v>14</v>
      </c>
      <c r="B18" s="12" t="s">
        <v>358</v>
      </c>
      <c r="C18" s="12" t="s">
        <v>150</v>
      </c>
      <c r="D18" s="12"/>
      <c r="E18" s="12"/>
    </row>
    <row r="19" spans="1:5" s="21" customFormat="1" ht="20" customHeight="1" x14ac:dyDescent="0.35">
      <c r="A19" s="2">
        <f t="shared" si="0"/>
        <v>15</v>
      </c>
      <c r="B19" s="12" t="s">
        <v>379</v>
      </c>
      <c r="C19" s="12" t="s">
        <v>47</v>
      </c>
      <c r="D19" s="12"/>
      <c r="E19" s="12"/>
    </row>
    <row r="20" spans="1:5" s="21" customFormat="1" ht="20" customHeight="1" x14ac:dyDescent="0.35">
      <c r="A20" s="2">
        <f t="shared" si="0"/>
        <v>16</v>
      </c>
      <c r="B20" s="12" t="s">
        <v>364</v>
      </c>
      <c r="C20" s="12" t="s">
        <v>383</v>
      </c>
      <c r="D20" s="12" t="s">
        <v>84</v>
      </c>
      <c r="E20" s="12"/>
    </row>
    <row r="21" spans="1:5" s="21" customFormat="1" ht="20" customHeight="1" x14ac:dyDescent="0.35">
      <c r="A21" s="2">
        <f t="shared" si="0"/>
        <v>17</v>
      </c>
      <c r="B21" s="12" t="s">
        <v>176</v>
      </c>
      <c r="C21" s="12" t="s">
        <v>121</v>
      </c>
      <c r="D21" s="12"/>
      <c r="E21" s="12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8</vt:i4>
      </vt:variant>
    </vt:vector>
  </HeadingPairs>
  <TitlesOfParts>
    <vt:vector size="17" baseType="lpstr">
      <vt:lpstr>November 2025</vt:lpstr>
      <vt:lpstr>January 2026</vt:lpstr>
      <vt:lpstr>February 2026</vt:lpstr>
      <vt:lpstr>March 2026</vt:lpstr>
      <vt:lpstr>June 2026</vt:lpstr>
      <vt:lpstr>July 2026</vt:lpstr>
      <vt:lpstr>August 2026</vt:lpstr>
      <vt:lpstr>September 2026</vt:lpstr>
      <vt:lpstr>Name changes</vt:lpstr>
      <vt:lpstr>'August 2026'!Drucktitel</vt:lpstr>
      <vt:lpstr>'February 2026'!Drucktitel</vt:lpstr>
      <vt:lpstr>'January 2026'!Drucktitel</vt:lpstr>
      <vt:lpstr>'July 2026'!Drucktitel</vt:lpstr>
      <vt:lpstr>'June 2026'!Drucktitel</vt:lpstr>
      <vt:lpstr>'March 2026'!Drucktitel</vt:lpstr>
      <vt:lpstr>'November 2025'!Drucktitel</vt:lpstr>
      <vt:lpstr>'September 2026'!Drucktitel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Fireball</dc:creator>
  <cp:lastModifiedBy>Daniel Gefers</cp:lastModifiedBy>
  <cp:lastPrinted>2026-09-07T15:38:11Z</cp:lastPrinted>
  <dcterms:created xsi:type="dcterms:W3CDTF">2025-11-28T13:34:48Z</dcterms:created>
  <dcterms:modified xsi:type="dcterms:W3CDTF">2026-09-09T14:46:49Z</dcterms:modified>
</cp:coreProperties>
</file>